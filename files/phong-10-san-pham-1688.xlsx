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10 sản phẩm" sheetId="1" state="visible" r:id="rId3"/>
    <sheet name="Từ khóa 1688" sheetId="2" state="visible" r:id="rId4"/>
    <sheet name="Tính giá nhập tối đa" sheetId="3" state="visible" r:id="rId5"/>
    <sheet name="Nhà cung cấp 1688" sheetId="4" state="visible" r:id="rId6"/>
    <sheet name="Đã loại" sheetId="5" state="visible" r:id="rId7"/>
    <sheet name="Giả định và nguồ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<sst xmlns="http://schemas.openxmlformats.org/spreadsheetml/2006/main" count="233" uniqueCount="182">
  <si>
    <t xml:space="preserve">Phong: 5 sản phẩm chính và 5 sản phẩm vệ tinh (dữ liệu FastMoss, TikTok Shop Việt Nam, 28 ngày tới 15/10/2026)</t>
  </si>
  <si>
    <t xml:space="preserve">Dùng sheet này để tìm nhà cung cấp trên 1688. Sản phẩm chính: ưu tiên tìm trước. Vệ tinh: sản phẩm bổ sung, lượng test nhỏ.</t>
  </si>
  <si>
    <t xml:space="preserve">STT</t>
  </si>
  <si>
    <t xml:space="preserve">Nhóm</t>
  </si>
  <si>
    <t xml:space="preserve">Sản phẩm</t>
  </si>
  <si>
    <t xml:space="preserve">Mô tả để tìm trên 1688</t>
  </si>
  <si>
    <t xml:space="preserve">Giá bán hiện tại (đ)</t>
  </si>
  <si>
    <t xml:space="preserve">Đã bán 28 ngày (cái)</t>
  </si>
  <si>
    <t xml:space="preserve">GMV 28 ngày (triệu đ)</t>
  </si>
  <si>
    <t xml:space="preserve">Đơn từ quảng cáo (%)</t>
  </si>
  <si>
    <t xml:space="preserve">Kênh bán chính</t>
  </si>
  <si>
    <t xml:space="preserve">Creator liên kết (28 ngày)</t>
  </si>
  <si>
    <t xml:space="preserve">Shop dẫn đầu</t>
  </si>
  <si>
    <t xml:space="preserve">Link FastMoss (sản phẩm)</t>
  </si>
  <si>
    <t xml:space="preserve">Link FastMoss (shop)</t>
  </si>
  <si>
    <t xml:space="preserve">Nhận định và rủi ro</t>
  </si>
  <si>
    <t xml:space="preserve">Chính</t>
  </si>
  <si>
    <t xml:space="preserve">Gối tựa lưng/đầu cao su non (dùng ô tô và ghế văn phòng)</t>
  </si>
  <si>
    <t xml:space="preserve">Gối tựa lưng ôm lưng, lõi cao su non, vỏ vải co giãn, nhiều màu. Bán cả cho người lái xe và dân văn phòng.</t>
  </si>
  <si>
    <t xml:space="preserve">Product card 48%, affiliate 52%</t>
  </si>
  <si>
    <t xml:space="preserve">Vina Autocar</t>
  </si>
  <si>
    <t xml:space="preserve">https://www.fastmoss.com/e-commerce/detail/1731136149237827725</t>
  </si>
  <si>
    <t xml:space="preserve">https://www.fastmoss.com/shop-marketing/detail/7494771980958271629</t>
  </si>
  <si>
    <t xml:space="preserve">Bán đều 150 đến 450 cái mỗi ngày, hầu như không chạy quảng cáo. Rủi ro: cạnh tranh mạnh, shop lớn đã bán 190k cái. Hàng cồng kềnh nên ship nặng hơn.</t>
  </si>
  <si>
    <t xml:space="preserve">Đui đèn cảm ứng chuyển động E27 (bán lẻ và combo 3)</t>
  </si>
  <si>
    <t xml:space="preserve">Đui đèn xoáy E27 có cảm biến hồng ngoại, tự bật khi có người đến gần, tự tắt khi đi. Combo 3 cái bán 112 đến 119k.</t>
  </si>
  <si>
    <t xml:space="preserve">Affiliate 79%, product card 21%</t>
  </si>
  <si>
    <t xml:space="preserve">T07 Store (lẻ), Shop.23Age (combo 3)</t>
  </si>
  <si>
    <t xml:space="preserve">https://www.fastmoss.com/e-commerce/detail/1734123185784194225</t>
  </si>
  <si>
    <t xml:space="preserve">https://www.fastmoss.com/shop-marketing/detail/7496271508515489969</t>
  </si>
  <si>
    <t xml:space="preserve">Có cảm biến thật và bán lớn nhất, nhưng tuần bán gần nhất giảm 57% so với đỉnh. Combo 3 (3.330 cái, 62% qua product card) đang ổn định hơn bán lẻ. Cần giá nhập rất thấp.</t>
  </si>
  <si>
    <t xml:space="preserve">Đai chống gù lưng (người lớn, trẻ em)</t>
  </si>
  <si>
    <t xml:space="preserve">Đai đeo lưng chống gù, nhiều size từ trẻ em đến bigsize, màu đen/da.</t>
  </si>
  <si>
    <t xml:space="preserve">Affiliate 86%, product card 11%</t>
  </si>
  <si>
    <t xml:space="preserve">HOMIE SPACE SHOP</t>
  </si>
  <si>
    <t xml:space="preserve">https://www.fastmoss.com/e-commerce/detail/1731146109109241437</t>
  </si>
  <si>
    <t xml:space="preserve">https://www.fastmoss.com/shop-marketing/detail/7496103480138631773</t>
  </si>
  <si>
    <t xml:space="preserve">Hợp chủ đề sức khỏe dân văn phòng. 74% đơn đến từ quảng cáo, chỉ có 7 creator: chưa chứng minh được bán organic. Đã có đánh giá 4,5 sao với 1.738 lượt.</t>
  </si>
  <si>
    <t xml:space="preserve">Đèn bàn đọc sách cảm ứng tích điện 3 chế độ ánh sáng</t>
  </si>
  <si>
    <t xml:space="preserve">Đèn bàn LED bảo vệ mắt, cảm ứng chạm đổi 3 chế độ sáng, pin sạc, nhiều phân loại.</t>
  </si>
  <si>
    <t xml:space="preserve">Product card 81%, affiliate 19%</t>
  </si>
  <si>
    <t xml:space="preserve">Tổng kho cửa khẩu Tân Thanh</t>
  </si>
  <si>
    <t xml:space="preserve">https://www.fastmoss.com/e-commerce/detail/1732000296416873186</t>
  </si>
  <si>
    <t xml:space="preserve">https://www.fastmoss.com/shop-marketing/detail/7496109231906523874</t>
  </si>
  <si>
    <t xml:space="preserve">Không có đơn quảng cáo, khách tìm kiếm trực tiếp (product card 81%). Bán đều 30 đến 120 cái mỗi ngày. Shop bán là kho sỉ lớn nên khó giảm giá hơn họ. Có pin sạc: cần kiểm tra quy định vận chuyển.</t>
  </si>
  <si>
    <t xml:space="preserve">Đồng hồ điện tử để bàn đếm ngược, hẹn giờ (pomodoro, học tập)</t>
  </si>
  <si>
    <t xml:space="preserve">Đồng hồ bấm giờ đếm ngược để bàn có từ tính, dùng cho nấu ăn, học tập, tập gym.</t>
  </si>
  <si>
    <t xml:space="preserve">Affiliate 54%, product card 46%</t>
  </si>
  <si>
    <t xml:space="preserve">Agate88 shop</t>
  </si>
  <si>
    <t xml:space="preserve">https://www.fastmoss.com/e-commerce/detail/1731626774315436543</t>
  </si>
  <si>
    <t xml:space="preserve">https://www.fastmoss.com/shop-marketing/detail/7496026555288619519</t>
  </si>
  <si>
    <t xml:space="preserve">Đánh giá 4,7 sao với 3.881 lượt. Mẫu đã chín (49.886 cái cộng dồn), shop dẫn đầu rất lớn. Nên định vị riêng cho dân văn phòng (pomodoro) để tránh đấu giá trực tiếp.</t>
  </si>
  <si>
    <t xml:space="preserve">Vệ tinh</t>
  </si>
  <si>
    <t xml:space="preserve">Đèn ngủ cảm biến ánh sáng tự bật tắt (cắm điện)</t>
  </si>
  <si>
    <t xml:space="preserve">Đèn ngủ LED mini cắm điện, cảm biến ánh sáng: trời tối tự bật, sáng tự tắt.</t>
  </si>
  <si>
    <t xml:space="preserve">Product card 94%</t>
  </si>
  <si>
    <t xml:space="preserve">Liên Tít - Home Decor</t>
  </si>
  <si>
    <t xml:space="preserve">https://www.fastmoss.com/e-commerce/detail/1729577252422322301</t>
  </si>
  <si>
    <t xml:space="preserve">https://www.fastmoss.com/shop-marketing/detail/7494603415173236861</t>
  </si>
  <si>
    <t xml:space="preserve">Có cảm biến, 94% đơn từ product card, không cần creator. Giá thấp (17 đến 86k tùy mẫu), biên mỏng. Còn có 2B Store (642 cái/28 ngày) và Mộc Home (701 cái/28 ngày) bán cùng loại.</t>
  </si>
  <si>
    <t xml:space="preserve">Miếng dán massage xung điện cổ vai gáy</t>
  </si>
  <si>
    <t xml:space="preserve">Miếng dán massage xung điện mini cho cổ, vai, gáy, sạc USB, nhiều chế độ.</t>
  </si>
  <si>
    <t xml:space="preserve">chưa kiểm tra</t>
  </si>
  <si>
    <t xml:space="preserve">Chưa kiểm tra</t>
  </si>
  <si>
    <t xml:space="preserve">Hazimi Việt Nam (dẫn đầu), TÔP Phụ Kiện Hà Nội (mẫu 34k)</t>
  </si>
  <si>
    <t xml:space="preserve">https://www.fastmoss.com/e-commerce/detail/1730454420724287763</t>
  </si>
  <si>
    <t xml:space="preserve">https://www.fastmoss.com/shop-marketing/detail/7494628106930718995</t>
  </si>
  <si>
    <t xml:space="preserve">Giảm đau mỏi cổ vai gáy của dân văn phòng. Mẫu rẻ 34 đến 42k bán 273 đến 308 cái/28 ngày. Rủi ro: sản phẩm liên quan sức khỏe và thiết bị điện, dễ bị báo cáo hoặc khiếu nại, chỉ nên dùng mô tả an toàn.</t>
  </si>
  <si>
    <t xml:space="preserve">Đèn năng lượng mặt trời cảm biến chuyển động và ánh sáng</t>
  </si>
  <si>
    <t xml:space="preserve">Đèn treo tường chống nước dùng pin mặt trời, cảm biến chuyển động 3 mức sáng.</t>
  </si>
  <si>
    <t xml:space="preserve">Affiliate 98%, video 92%</t>
  </si>
  <si>
    <t xml:space="preserve">BLip</t>
  </si>
  <si>
    <t xml:space="preserve">https://www.fastmoss.com/e-commerce/detail/1736575107277424283</t>
  </si>
  <si>
    <t xml:space="preserve">https://www.fastmoss.com/shop-marketing/detail/7494086699617257115</t>
  </si>
  <si>
    <t xml:space="preserve">Tuần gần nhất tăng mạnh (618 cái/7 ngày). Có cảm biến nhưng là đèn ngoài trời, lệch khỏi chủ đề văn phòng, và 75% đơn đến từ quảng cáo.</t>
  </si>
  <si>
    <t xml:space="preserve">Giá đỡ điện thoại/máy tính bảng để bàn, gấp gọn xoay 360 độ</t>
  </si>
  <si>
    <t xml:space="preserve">Giá đỡ kim loại hoặc nhựa gấp gọn, xoay được, dùng ở bàn làm việc.</t>
  </si>
  <si>
    <t xml:space="preserve">chaohanshouji (mẫu 23k), HaiLoka (mẫu 93k, 3.678 cái)</t>
  </si>
  <si>
    <t xml:space="preserve">https://www.fastmoss.com/e-commerce/detail/1733032980288014229</t>
  </si>
  <si>
    <t xml:space="preserve">https://www.fastmoss.com/shop-marketing/detail/7494194365011560341</t>
  </si>
  <si>
    <t xml:space="preserve">Bán số lượng lớn, tiếp nối ý tưởng giá đỡ laptop trước đây của Phong. Giá bán rất thấp nên biên gần như không có, chỉ làm hàng phụ kèm combo hoặc bản cao cấp 93k.</t>
  </si>
  <si>
    <t xml:space="preserve">Gối tựa lưng ghế văn phòng công thái học (cao su non, bản cao cấp)</t>
  </si>
  <si>
    <t xml:space="preserve">Gối tựa thắt lưng cho ghế văn phòng, cao su non, thiết kế công thái học, có đai gài.</t>
  </si>
  <si>
    <t xml:space="preserve">Mẹ Chũn Shop (119k); DECAR AUTO (198k); EMA (220k)</t>
  </si>
  <si>
    <t xml:space="preserve">https://www.fastmoss.com/e-commerce/detail/1729605935821785987</t>
  </si>
  <si>
    <t xml:space="preserve">https://www.fastmoss.com/shop-marketing/detail/7494638104382311299</t>
  </si>
  <si>
    <t xml:space="preserve">Dòng đúng chủ đề văn phòng nhất nhưng giá cao, bán 212 đến 253 cái/28 ngày mỗi mẫu. Dùng để so với sản phẩm chính số 1 (gối ô tô giá thấp bán gấp 30 lần).</t>
  </si>
  <si>
    <t xml:space="preserve">Từ khóa tiếng Trung để tìm trên 1688 (dán vào thanh tìm kiếm 1688, mỗi từ khóa cách nhau bằng dấu ;)</t>
  </si>
  <si>
    <r>
      <rPr>
        <sz val="11"/>
        <color theme="1"/>
        <rFont val="Calibri"/>
        <family val="2"/>
        <charset val="1"/>
      </rPr>
      <t xml:space="preserve">Đây là gợi ý ban đầu. Nên nhờ ChatGPT kiểm tra lại và bổ sung từ khóa theo ảnh sản phẩm thật. Lọc 1688 theo: nhà máy (</t>
    </r>
    <r>
      <rPr>
        <sz val="11"/>
        <color theme="1"/>
        <rFont val="WenQuanYi Zen Hei"/>
        <family val="2"/>
      </rPr>
      <t xml:space="preserve">源头工厂</t>
    </r>
    <r>
      <rPr>
        <sz val="11"/>
        <color theme="1"/>
        <rFont val="Calibri"/>
        <family val="2"/>
        <charset val="1"/>
      </rPr>
      <t xml:space="preserve">), hỗ trợ một món (</t>
    </r>
    <r>
      <rPr>
        <sz val="11"/>
        <color theme="1"/>
        <rFont val="WenQuanYi Zen Hei"/>
        <family val="2"/>
      </rPr>
      <t xml:space="preserve">支持一件代发</t>
    </r>
    <r>
      <rPr>
        <sz val="11"/>
        <color theme="1"/>
        <rFont val="Calibri"/>
        <family val="2"/>
        <charset val="1"/>
      </rPr>
      <t xml:space="preserve">), đánh giá cao.</t>
    </r>
  </si>
  <si>
    <t xml:space="preserve">Từ khóa tiếng Trung</t>
  </si>
  <si>
    <t xml:space="preserve">Ghi chú khi tìm</t>
  </si>
  <si>
    <t xml:space="preserve">Gối tựa lưng/đầu cao su non</t>
  </si>
  <si>
    <t xml:space="preserve">汽车头枕腰靠套装 记忆棉；办公室护腰靠垫 记忆棉；办公椅腰靠 人体工学；车用腰靠 护腰</t>
  </si>
  <si>
    <r>
      <rPr>
        <sz val="11"/>
        <color theme="1"/>
        <rFont val="Calibri"/>
        <family val="2"/>
        <charset val="1"/>
      </rPr>
      <t xml:space="preserve">Ghế ô tô và ghế văn phòng, cao su non (</t>
    </r>
    <r>
      <rPr>
        <sz val="11"/>
        <color theme="1"/>
        <rFont val="WenQuanYi Zen Hei"/>
        <family val="2"/>
      </rPr>
      <t xml:space="preserve">记忆棉</t>
    </r>
    <r>
      <rPr>
        <sz val="11"/>
        <color theme="1"/>
        <rFont val="Calibri"/>
        <family val="2"/>
        <charset val="1"/>
      </rPr>
      <t xml:space="preserve">)</t>
    </r>
  </si>
  <si>
    <t xml:space="preserve">Đui đèn cảm ứng E27</t>
  </si>
  <si>
    <r>
      <rPr>
        <sz val="11"/>
        <color theme="1"/>
        <rFont val="WenQuanYi Zen Hei"/>
        <family val="2"/>
      </rPr>
      <t xml:space="preserve">红外感应灯头 </t>
    </r>
    <r>
      <rPr>
        <sz val="11"/>
        <color theme="1"/>
        <rFont val="Calibri"/>
        <family val="2"/>
        <charset val="1"/>
      </rPr>
      <t xml:space="preserve">E27</t>
    </r>
    <r>
      <rPr>
        <sz val="11"/>
        <color theme="1"/>
        <rFont val="WenQuanYi Zen Hei"/>
        <family val="2"/>
      </rPr>
      <t xml:space="preserve">；人体感应灯座 螺口；感应灯头 自动开关；人体感应灯座 三个装</t>
    </r>
  </si>
  <si>
    <r>
      <rPr>
        <sz val="11"/>
        <color theme="1"/>
        <rFont val="Calibri"/>
        <family val="2"/>
        <charset val="1"/>
      </rPr>
      <t xml:space="preserve">E27 là </t>
    </r>
    <r>
      <rPr>
        <sz val="11"/>
        <color theme="1"/>
        <rFont val="WenQuanYi Zen Hei"/>
        <family val="2"/>
      </rPr>
      <t xml:space="preserve">螺口</t>
    </r>
    <r>
      <rPr>
        <sz val="11"/>
        <color theme="1"/>
        <rFont val="Calibri"/>
        <family val="2"/>
        <charset val="1"/>
      </rPr>
      <t xml:space="preserve">; có bản có cả cảm biến ánh sáng</t>
    </r>
  </si>
  <si>
    <t xml:space="preserve">Đai chống gù</t>
  </si>
  <si>
    <t xml:space="preserve">驼背矫正带 成人；背背佳 矫姿带；儿童成人 驼背矫正带 透气；脊柱矫正带 隐形</t>
  </si>
  <si>
    <t xml:space="preserve">Tìm loại có size từ em bé đến bigsize</t>
  </si>
  <si>
    <t xml:space="preserve">Đèn bàn cảm ứng tích điện</t>
  </si>
  <si>
    <r>
      <rPr>
        <sz val="11"/>
        <color theme="1"/>
        <rFont val="Calibri"/>
        <family val="2"/>
        <charset val="1"/>
      </rPr>
      <t xml:space="preserve">LED</t>
    </r>
    <r>
      <rPr>
        <sz val="11"/>
        <color theme="1"/>
        <rFont val="WenQuanYi Zen Hei"/>
        <family val="2"/>
      </rPr>
      <t xml:space="preserve">充电台灯 触摸调光 护眼；学生护眼台灯 充电 三档；</t>
    </r>
    <r>
      <rPr>
        <sz val="11"/>
        <color theme="1"/>
        <rFont val="Calibri"/>
        <family val="2"/>
        <charset val="1"/>
      </rPr>
      <t xml:space="preserve">USB</t>
    </r>
    <r>
      <rPr>
        <sz val="11"/>
        <color theme="1"/>
        <rFont val="WenQuanYi Zen Hei"/>
        <family val="2"/>
      </rPr>
      <t xml:space="preserve">充电 触摸台灯 折叠</t>
    </r>
  </si>
  <si>
    <t xml:space="preserve">Có pin sạc nên hỏi shop về chứng nhận pin</t>
  </si>
  <si>
    <t xml:space="preserve">Đồng hồ hẹn giờ để bàn</t>
  </si>
  <si>
    <t xml:space="preserve">倒计时器 学习 番茄钟；厨房定时器 磁吸 电子；学生学习计时器 静音</t>
  </si>
  <si>
    <t xml:space="preserve">Chú ý loại có cục từ và màn hình LCD lớn</t>
  </si>
  <si>
    <t xml:space="preserve">Đèn ngủ cảm biến ánh sáng</t>
  </si>
  <si>
    <r>
      <rPr>
        <sz val="11"/>
        <color theme="1"/>
        <rFont val="WenQuanYi Zen Hei"/>
        <family val="2"/>
      </rPr>
      <t xml:space="preserve">光控小夜灯 插电 感应；智能光控</t>
    </r>
    <r>
      <rPr>
        <sz val="11"/>
        <color theme="1"/>
        <rFont val="Calibri"/>
        <family val="2"/>
        <charset val="1"/>
      </rPr>
      <t xml:space="preserve">LED</t>
    </r>
    <r>
      <rPr>
        <sz val="11"/>
        <color theme="1"/>
        <rFont val="WenQuanYi Zen Hei"/>
        <family val="2"/>
      </rPr>
      <t xml:space="preserve">夜灯；人体感应小夜灯 插座</t>
    </r>
  </si>
  <si>
    <t xml:space="preserve">Chọn loại cắm điện 220V đúng chuẩn Việt Nam</t>
  </si>
  <si>
    <t xml:space="preserve">Miếng dán massage xung điện</t>
  </si>
  <si>
    <r>
      <rPr>
        <sz val="11"/>
        <color theme="1"/>
        <rFont val="WenQuanYi Zen Hei"/>
        <family val="2"/>
      </rPr>
      <t xml:space="preserve">脉冲按摩贴 颈椎 肩颈；低频理疗贴 迷你 充电；电脉冲 按摩贴 </t>
    </r>
    <r>
      <rPr>
        <sz val="11"/>
        <color theme="1"/>
        <rFont val="Calibri"/>
        <family val="2"/>
        <charset val="1"/>
      </rPr>
      <t xml:space="preserve">USB</t>
    </r>
  </si>
  <si>
    <t xml:space="preserve">Hỏi chứng nhận an toàn điện, tránh nhãn y tế</t>
  </si>
  <si>
    <t xml:space="preserve">Đèn năng lượng mặt trời cảm biến</t>
  </si>
  <si>
    <t xml:space="preserve">太阳能感应壁灯 户外；太阳能人体感应灯 防水；太阳能庭院灯 三模式 感应</t>
  </si>
  <si>
    <t xml:space="preserve">Hỏi dung lượng pin và thời gian sáng</t>
  </si>
  <si>
    <t xml:space="preserve">Giá đỡ điện thoại để bàn</t>
  </si>
  <si>
    <t xml:space="preserve">桌面手机支架 折叠 金属；懒人手机支架 可调节；桌面平板支架 旋转</t>
  </si>
  <si>
    <t xml:space="preserve">Chọn mẫu kim loại, phần chân có đệm chống trượt</t>
  </si>
  <si>
    <t xml:space="preserve">Gối tựa lưng ghế văn phòng cao cấp</t>
  </si>
  <si>
    <t xml:space="preserve">办公室腰靠 记忆棉 人体工学；护腰靠垫 办公椅 久坐；腰枕 办公室 带绑带</t>
  </si>
  <si>
    <t xml:space="preserve">Có đai gài, vỏ vải thoáng khí</t>
  </si>
  <si>
    <t xml:space="preserve">Giá nhập 1688 tối đa để còn lãi mục tiêu (ô vàng là giả định, sửa được)</t>
  </si>
  <si>
    <t xml:space="preserve">Tỷ giá (đ cho 1 tệ)</t>
  </si>
  <si>
    <t xml:space="preserve">Phí sàn TikTok Shop</t>
  </si>
  <si>
    <t xml:space="preserve">Lãi ròng mục tiêu (trên giá bán)</t>
  </si>
  <si>
    <t xml:space="preserve">Chưa gồm chi phí quảng cáo. Hoa hồng affiliate lấy theo từng sản phẩm trên FastMoss. Phí ship về tay là giả định, thay bằng báo giá thật khi có.</t>
  </si>
  <si>
    <t xml:space="preserve">Giá bán (đ)</t>
  </si>
  <si>
    <t xml:space="preserve">Hoa hồng affiliate</t>
  </si>
  <si>
    <t xml:space="preserve">Ship về tay mỗi cái (đ)</t>
  </si>
  <si>
    <t xml:space="preserve">Giá vốn tối đa gồm ship (đ)</t>
  </si>
  <si>
    <t xml:space="preserve">Giá nhập 1688 tối đa (tệ)</t>
  </si>
  <si>
    <t xml:space="preserve">Giá nhập thực tế (tệ) - Phong điền</t>
  </si>
  <si>
    <t xml:space="preserve">Lãi ròng mỗi cái (đ)</t>
  </si>
  <si>
    <t xml:space="preserve">Lãi ròng (%)</t>
  </si>
  <si>
    <t xml:space="preserve">Đánh giá</t>
  </si>
  <si>
    <t xml:space="preserve">Tính số lượng nhập test</t>
  </si>
  <si>
    <t xml:space="preserve">Số tiền Phong có để nhập hàng (đ)</t>
  </si>
  <si>
    <t xml:space="preserve">Chia đều cho số sản phẩm test</t>
  </si>
  <si>
    <t xml:space="preserve">Ngân sách mỗi sản phẩm (đ)</t>
  </si>
  <si>
    <t xml:space="preserve">Số cái test = ngân sách mỗi sản phẩm / (giá nhập thực tế x tỷ giá + ship). Ví dụ cột G dòng sản phẩm: </t>
  </si>
  <si>
    <t xml:space="preserve">Gợi ý: nhập thử 10 đến 30 cái mỗi sản phẩm để test lưu lượng, chưa nhập số lớn.</t>
  </si>
  <si>
    <t xml:space="preserve">Danh sách nhà cung cấp 1688 (Phong điền): mỗi sản phẩm chọn 1 đến 2 nhà cung cấp</t>
  </si>
  <si>
    <t xml:space="preserve">Quy trình: ChatGPT tạo từ khóa tiếng Trung &gt; tìm trên 1688 &gt; copy toàn bộ listing của từng sản phẩm đưa vào ChatGPT &gt; đọc thông tin nhà bán sỉ &gt; chọn 1 đến 2 nhà cung cấp mỗi sản phẩm.</t>
  </si>
  <si>
    <t xml:space="preserve">Nhà cung cấp số</t>
  </si>
  <si>
    <t xml:space="preserve">Tên shop 1688</t>
  </si>
  <si>
    <t xml:space="preserve">Link shop</t>
  </si>
  <si>
    <t xml:space="preserve">Link listing</t>
  </si>
  <si>
    <t xml:space="preserve">Nhà máy hay thương mại</t>
  </si>
  <si>
    <t xml:space="preserve">Giá nhập (tệ) tại MOQ</t>
  </si>
  <si>
    <t xml:space="preserve">MOQ</t>
  </si>
  <si>
    <t xml:space="preserve">Giá bậc thang</t>
  </si>
  <si>
    <t xml:space="preserve">Ship nội địa Trung (tệ)</t>
  </si>
  <si>
    <t xml:space="preserve">Thời gian giao</t>
  </si>
  <si>
    <t xml:space="preserve">Số năm bán / điểm đánh giá</t>
  </si>
  <si>
    <t xml:space="preserve">Ghi chú</t>
  </si>
  <si>
    <t xml:space="preserve">Các nhóm đã quét FastMoss và loại, kèm lý do</t>
  </si>
  <si>
    <t xml:space="preserve">Nhóm sản phẩm</t>
  </si>
  <si>
    <t xml:space="preserve">Lý do loại</t>
  </si>
  <si>
    <t xml:space="preserve">Nhiệt ẩm kế điện tử để bàn</t>
  </si>
  <si>
    <t xml:space="preserve">Dưới 20 cái/28 ngày ở mọi mẫu (ví dụ Deli 16 cái). Ít người mua trên TikTok VN.</t>
  </si>
  <si>
    <t xml:space="preserve">Kê chân dưới bàn làm việc</t>
  </si>
  <si>
    <t xml:space="preserve">38 cái/28 ngày (HH Shop 68), các mẫu còn lại gần 0.</t>
  </si>
  <si>
    <t xml:space="preserve">Lót chuột/kê tay bàn phím</t>
  </si>
  <si>
    <t xml:space="preserve">Mẫu tốt nhất chỉ 43 cái/28 ngày, giá 22 đến 184k.</t>
  </si>
  <si>
    <t xml:space="preserve">Quạt mini để bàn cảm ứng</t>
  </si>
  <si>
    <t xml:space="preserve">Dưới 12 cái/28 ngày.</t>
  </si>
  <si>
    <t xml:space="preserve">Thùng rác cảm ứng tự động</t>
  </si>
  <si>
    <t xml:space="preserve">65 cái/28 ngày ở giá 187k: giá cao, lượng thấp.</t>
  </si>
  <si>
    <t xml:space="preserve">Ổ cắm hẹn giờ tự ngắt</t>
  </si>
  <si>
    <t xml:space="preserve">78 cái/28 ngày, mẫu mới. Nên theo dõi, chưa đủ bằng chứng.</t>
  </si>
  <si>
    <t xml:space="preserve">Đèn kẹp bàn chống cận</t>
  </si>
  <si>
    <t xml:space="preserve">112 cái/28 ngày ở giá 99k, thua đèn bàn cảm ứng.</t>
  </si>
  <si>
    <t xml:space="preserve">Máy hút bụi mini cho bàn phím</t>
  </si>
  <si>
    <t xml:space="preserve">Gần như không có đơn trong 28 ngày.</t>
  </si>
  <si>
    <t xml:space="preserve">Giả định và nguồn</t>
  </si>
  <si>
    <t xml:space="preserve">Nguồn dữ liệu: FastMoss, thị trường Việt Nam (TikTok Shop), cửa sổ 28 ngày kết thúc 15/10/2026, số liệu lấy ngày 16/10/2026.</t>
  </si>
  <si>
    <t xml:space="preserve">Giá bán là giá hiện tại của sản phẩm dẫn đầu từng nhóm. Giá thực tế của Phong sẽ cần so với mặt bằng giá của nhóm.</t>
  </si>
  <si>
    <t xml:space="preserve">FastMoss không có giá 1688 hoặc nhà cung cấp. Cột giá nhập tối đa là mức tính ngược từ giá bán, chưa phải giá nhập thật.</t>
  </si>
  <si>
    <t xml:space="preserve">Hoa hồng affiliate là mức hoa hồng niêm yết của sản phẩm dẫn đầu. Chưa gồm chi phí quảng cáo và hoàn trả.</t>
  </si>
  <si>
    <t xml:space="preserve">Ship về tay (8k đến 18k mỗi cái) là giả định theo kích thước. Thay bằng báo giá thật của đơn vị vận chuyển và gộp kiện.</t>
  </si>
  <si>
    <t xml:space="preserve">Số creator là số creator liên kết sản phẩm theo FastMoss trong 28 ngày. Các sản phẩm vệ tinh chỉ mới quét ở mức tìm kiếm nên ghi chưa kiểm tra.</t>
  </si>
  <si>
    <t xml:space="preserve">Từ khóa tiếng Trung là gợi ý. Cần kiểm tra lại bằng ảnh sản phẩm thật trên 1688.</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</si>
</sst>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
  </numFmts>
  <fonts count="9">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u val="single"/>
      <sz val="11"/>
      <color rgb="FF1155CC"/>
      <name val="Cambria"/>
      <family val="0"/>
      <charset val="1"/>
    </font>
    <font>
      <sz val="11"/>
      <color theme="1"/>
      <name val="WenQuanYi Zen Hei"/>
      <family val="2"/>
    </font>
    <font>
      <b val="true"/>
      <sz val="11"/>
      <name val="Cambria"/>
      <family val="0"/>
      <charset val="1"/>
    </font>
  </fonts>
  <fills count="6">
    <fill>
      <patternFill patternType="none"/>
    </fill>
    <fill>
      <patternFill patternType="gray125"/>
    </fill>
    <fill>
      <patternFill patternType="solid">
        <fgColor rgb="FF1F3A2E"/>
        <bgColor rgb="FF333300"/>
      </patternFill>
    </fill>
    <fill>
      <patternFill patternType="solid">
        <fgColor rgb="FFE4F0E7"/>
        <bgColor rgb="FFF6F2E8"/>
      </patternFill>
    </fill>
    <fill>
      <patternFill patternType="solid">
        <fgColor rgb="FFF6F2E8"/>
        <bgColor rgb="FFFFF6D6"/>
      </patternFill>
    </fill>
    <fill>
      <patternFill patternType="solid">
        <fgColor rgb="FFFFF6D6"/>
        <bgColor rgb="FFF6F2E8"/>
      </patternFill>
    </fill>
  </fills>
  <borders count="2">
    <border diagonalUp="false" diagonalDown="false">
      <left/>
      <right/>
      <top/>
      <bottom/>
      <diagonal/>
    </border>
    <border diagonalUp="false" diagonalDown="false">
      <left style="thin">
        <color rgb="FFD9D4C7"/>
      </left>
      <right style="thin">
        <color rgb="FFD9D4C7"/>
      </right>
      <top style="thin">
        <color rgb="FFD9D4C7"/>
      </top>
      <bottom style="thin">
        <color rgb="FFD9D4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5" fontId="0" fillId="4" borderId="1" xfId="0" applyFont="false" applyBorder="tru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7" fontId="0" fillId="3" borderId="1" xfId="0" applyFont="false" applyBorder="true" applyAlignment="true" applyProtection="false">
      <alignment horizontal="general" vertical="top" textRotation="0" wrapText="true" indent="0" shrinkToFit="false"/>
      <protection locked="true" hidden="false"/>
    </xf>
    <xf numFmtId="168" fontId="0" fillId="3" borderId="1" xfId="0" applyFont="fals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7" fontId="0" fillId="4" borderId="1" xfId="0" applyFont="false" applyBorder="true" applyAlignment="true" applyProtection="false">
      <alignment horizontal="general" vertical="top" textRotation="0" wrapText="true" indent="0" shrinkToFit="false"/>
      <protection locked="true" hidden="false"/>
    </xf>
    <xf numFmtId="168" fontId="0" fillId="4" borderId="1" xfId="0" applyFont="fals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4C7"/>
      <rgbColor rgb="FF808080"/>
      <rgbColor rgb="FF9999FF"/>
      <rgbColor rgb="FF993366"/>
      <rgbColor rgb="FFFFF6D6"/>
      <rgbColor rgb="FFE4F0E7"/>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F6F2E8"/>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stmoss.com/e-commerce/detail/1731136149237827725" TargetMode="External"/><Relationship Id="rId2" Type="http://schemas.openxmlformats.org/officeDocument/2006/relationships/hyperlink" Target="https://www.fastmoss.com/shop-marketing/detail/7494771980958271629" TargetMode="External"/><Relationship Id="rId3" Type="http://schemas.openxmlformats.org/officeDocument/2006/relationships/hyperlink" Target="https://www.fastmoss.com/e-commerce/detail/1734123185784194225" TargetMode="External"/><Relationship Id="rId4" Type="http://schemas.openxmlformats.org/officeDocument/2006/relationships/hyperlink" Target="https://www.fastmoss.com/shop-marketing/detail/7496271508515489969" TargetMode="External"/><Relationship Id="rId5" Type="http://schemas.openxmlformats.org/officeDocument/2006/relationships/hyperlink" Target="https://www.fastmoss.com/e-commerce/detail/1731146109109241437" TargetMode="External"/><Relationship Id="rId6" Type="http://schemas.openxmlformats.org/officeDocument/2006/relationships/hyperlink" Target="https://www.fastmoss.com/shop-marketing/detail/7496103480138631773" TargetMode="External"/><Relationship Id="rId7" Type="http://schemas.openxmlformats.org/officeDocument/2006/relationships/hyperlink" Target="https://www.fastmoss.com/e-commerce/detail/1732000296416873186" TargetMode="External"/><Relationship Id="rId8" Type="http://schemas.openxmlformats.org/officeDocument/2006/relationships/hyperlink" Target="https://www.fastmoss.com/shop-marketing/detail/7496109231906523874" TargetMode="External"/><Relationship Id="rId9" Type="http://schemas.openxmlformats.org/officeDocument/2006/relationships/hyperlink" Target="https://www.fastmoss.com/e-commerce/detail/1731626774315436543" TargetMode="External"/><Relationship Id="rId10" Type="http://schemas.openxmlformats.org/officeDocument/2006/relationships/hyperlink" Target="https://www.fastmoss.com/shop-marketing/detail/7496026555288619519" TargetMode="External"/><Relationship Id="rId11" Type="http://schemas.openxmlformats.org/officeDocument/2006/relationships/hyperlink" Target="https://www.fastmoss.com/e-commerce/detail/1729577252422322301" TargetMode="External"/><Relationship Id="rId12" Type="http://schemas.openxmlformats.org/officeDocument/2006/relationships/hyperlink" Target="https://www.fastmoss.com/shop-marketing/detail/7494603415173236861" TargetMode="External"/><Relationship Id="rId13" Type="http://schemas.openxmlformats.org/officeDocument/2006/relationships/hyperlink" Target="https://www.fastmoss.com/e-commerce/detail/1730454420724287763" TargetMode="External"/><Relationship Id="rId14" Type="http://schemas.openxmlformats.org/officeDocument/2006/relationships/hyperlink" Target="https://www.fastmoss.com/shop-marketing/detail/7494628106930718995" TargetMode="External"/><Relationship Id="rId15" Type="http://schemas.openxmlformats.org/officeDocument/2006/relationships/hyperlink" Target="https://www.fastmoss.com/e-commerce/detail/1736575107277424283" TargetMode="External"/><Relationship Id="rId16" Type="http://schemas.openxmlformats.org/officeDocument/2006/relationships/hyperlink" Target="https://www.fastmoss.com/shop-marketing/detail/7494086699617257115" TargetMode="External"/><Relationship Id="rId17" Type="http://schemas.openxmlformats.org/officeDocument/2006/relationships/hyperlink" Target="https://www.fastmoss.com/e-commerce/detail/1733032980288014229" TargetMode="External"/><Relationship Id="rId18" Type="http://schemas.openxmlformats.org/officeDocument/2006/relationships/hyperlink" Target="https://www.fastmoss.com/shop-marketing/detail/7494194365011560341" TargetMode="External"/><Relationship Id="rId19" Type="http://schemas.openxmlformats.org/officeDocument/2006/relationships/hyperlink" Target="https://www.fastmoss.com/e-commerce/detail/1729605935821785987" TargetMode="External"/><Relationship Id="rId20" Type="http://schemas.openxmlformats.org/officeDocument/2006/relationships/hyperlink" Target="https://www.fastmoss.com/shop-marketing/detail/749463810438231129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38"/>
    <col collapsed="false" customWidth="true" hidden="false" outlineLevel="0" max="4" min="4" style="0" width="44"/>
    <col collapsed="false" customWidth="true" hidden="false" outlineLevel="0" max="5" min="5" style="0" width="14"/>
    <col collapsed="false" customWidth="true" hidden="false" outlineLevel="0" max="8" min="6" style="0" width="12"/>
    <col collapsed="false" customWidth="true" hidden="false" outlineLevel="0" max="9" min="9" style="0" width="26"/>
    <col collapsed="false" customWidth="true" hidden="false" outlineLevel="0" max="10" min="10" style="0" width="12"/>
    <col collapsed="false" customWidth="true" hidden="false" outlineLevel="0" max="11" min="11" style="0" width="30"/>
    <col collapsed="false" customWidth="true" hidden="false" outlineLevel="0" max="13" min="12" style="0" width="44"/>
    <col collapsed="false" customWidth="true" hidden="false" outlineLevel="0" max="14" min="14"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45" hidden="false" customHeight="true" outlineLevel="0" collapsed="false">
      <c r="A4" s="2" t="s">
        <v>2</v>
      </c>
      <c r="B4" s="2" t="s">
        <v>3</v>
      </c>
      <c r="C4" s="2" t="s">
        <v>4</v>
      </c>
      <c r="D4" s="2" t="s">
        <v>5</v>
      </c>
      <c r="E4" s="2" t="s">
        <v>6</v>
      </c>
      <c r="F4" s="2" t="s">
        <v>7</v>
      </c>
      <c r="G4" s="2" t="s">
        <v>8</v>
      </c>
      <c r="H4" s="2" t="s">
        <v>9</v>
      </c>
      <c r="I4" s="2" t="s">
        <v>10</v>
      </c>
      <c r="J4" s="2" t="s">
        <v>11</v>
      </c>
      <c r="K4" s="2" t="s">
        <v>12</v>
      </c>
      <c r="L4" s="2" t="s">
        <v>13</v>
      </c>
      <c r="M4" s="2" t="s">
        <v>14</v>
      </c>
      <c r="N4" s="2" t="s">
        <v>15</v>
      </c>
    </row>
    <row r="5" customFormat="false" ht="94.5" hidden="false" customHeight="true" outlineLevel="0" collapsed="false">
      <c r="A5" s="3" t="n">
        <v>1</v>
      </c>
      <c r="B5" s="3" t="s">
        <v>16</v>
      </c>
      <c r="C5" s="3" t="s">
        <v>17</v>
      </c>
      <c r="D5" s="3" t="s">
        <v>18</v>
      </c>
      <c r="E5" s="4" t="n">
        <v>67000</v>
      </c>
      <c r="F5" s="4" t="n">
        <v>7542</v>
      </c>
      <c r="G5" s="3" t="n">
        <v>505.8</v>
      </c>
      <c r="H5" s="5" t="n">
        <v>0.02</v>
      </c>
      <c r="I5" s="3" t="s">
        <v>19</v>
      </c>
      <c r="J5" s="3" t="n">
        <v>194</v>
      </c>
      <c r="K5" s="3" t="s">
        <v>20</v>
      </c>
      <c r="L5" s="6" t="s">
        <v>21</v>
      </c>
      <c r="M5" s="6" t="s">
        <v>22</v>
      </c>
      <c r="N5" s="3" t="s">
        <v>23</v>
      </c>
    </row>
    <row r="6" customFormat="false" ht="94.5" hidden="false" customHeight="true" outlineLevel="0" collapsed="false">
      <c r="A6" s="3" t="n">
        <v>2</v>
      </c>
      <c r="B6" s="3" t="s">
        <v>16</v>
      </c>
      <c r="C6" s="3" t="s">
        <v>24</v>
      </c>
      <c r="D6" s="3" t="s">
        <v>25</v>
      </c>
      <c r="E6" s="4" t="n">
        <v>44000</v>
      </c>
      <c r="F6" s="4" t="n">
        <v>9429</v>
      </c>
      <c r="G6" s="3" t="n">
        <v>414.8</v>
      </c>
      <c r="H6" s="5" t="n">
        <v>0.09</v>
      </c>
      <c r="I6" s="3" t="s">
        <v>26</v>
      </c>
      <c r="J6" s="3" t="n">
        <v>236</v>
      </c>
      <c r="K6" s="3" t="s">
        <v>27</v>
      </c>
      <c r="L6" s="6" t="s">
        <v>28</v>
      </c>
      <c r="M6" s="6" t="s">
        <v>29</v>
      </c>
      <c r="N6" s="3" t="s">
        <v>30</v>
      </c>
    </row>
    <row r="7" customFormat="false" ht="94.5" hidden="false" customHeight="true" outlineLevel="0" collapsed="false">
      <c r="A7" s="3" t="n">
        <v>3</v>
      </c>
      <c r="B7" s="3" t="s">
        <v>16</v>
      </c>
      <c r="C7" s="3" t="s">
        <v>31</v>
      </c>
      <c r="D7" s="3" t="s">
        <v>32</v>
      </c>
      <c r="E7" s="4" t="n">
        <v>62000</v>
      </c>
      <c r="F7" s="4" t="n">
        <v>4591</v>
      </c>
      <c r="G7" s="3" t="n">
        <v>285</v>
      </c>
      <c r="H7" s="5" t="n">
        <v>0.74</v>
      </c>
      <c r="I7" s="3" t="s">
        <v>33</v>
      </c>
      <c r="J7" s="3" t="n">
        <v>7</v>
      </c>
      <c r="K7" s="3" t="s">
        <v>34</v>
      </c>
      <c r="L7" s="6" t="s">
        <v>35</v>
      </c>
      <c r="M7" s="6" t="s">
        <v>36</v>
      </c>
      <c r="N7" s="3" t="s">
        <v>37</v>
      </c>
    </row>
    <row r="8" customFormat="false" ht="94.5" hidden="false" customHeight="true" outlineLevel="0" collapsed="false">
      <c r="A8" s="3" t="n">
        <v>4</v>
      </c>
      <c r="B8" s="3" t="s">
        <v>16</v>
      </c>
      <c r="C8" s="3" t="s">
        <v>38</v>
      </c>
      <c r="D8" s="3" t="s">
        <v>39</v>
      </c>
      <c r="E8" s="4" t="n">
        <v>78000</v>
      </c>
      <c r="F8" s="4" t="n">
        <v>1822</v>
      </c>
      <c r="G8" s="3" t="n">
        <v>141.5</v>
      </c>
      <c r="H8" s="5" t="n">
        <v>0</v>
      </c>
      <c r="I8" s="3" t="s">
        <v>40</v>
      </c>
      <c r="J8" s="3" t="n">
        <v>34</v>
      </c>
      <c r="K8" s="3" t="s">
        <v>41</v>
      </c>
      <c r="L8" s="6" t="s">
        <v>42</v>
      </c>
      <c r="M8" s="6" t="s">
        <v>43</v>
      </c>
      <c r="N8" s="3" t="s">
        <v>44</v>
      </c>
    </row>
    <row r="9" customFormat="false" ht="94.5" hidden="false" customHeight="true" outlineLevel="0" collapsed="false">
      <c r="A9" s="3" t="n">
        <v>5</v>
      </c>
      <c r="B9" s="3" t="s">
        <v>16</v>
      </c>
      <c r="C9" s="3" t="s">
        <v>45</v>
      </c>
      <c r="D9" s="3" t="s">
        <v>46</v>
      </c>
      <c r="E9" s="4" t="n">
        <v>51000</v>
      </c>
      <c r="F9" s="4" t="n">
        <v>1823</v>
      </c>
      <c r="G9" s="3" t="n">
        <v>92.9</v>
      </c>
      <c r="H9" s="5" t="n">
        <v>0.27</v>
      </c>
      <c r="I9" s="3" t="s">
        <v>47</v>
      </c>
      <c r="J9" s="3" t="n">
        <v>29</v>
      </c>
      <c r="K9" s="3" t="s">
        <v>48</v>
      </c>
      <c r="L9" s="6" t="s">
        <v>49</v>
      </c>
      <c r="M9" s="6" t="s">
        <v>50</v>
      </c>
      <c r="N9" s="3" t="s">
        <v>51</v>
      </c>
    </row>
    <row r="10" customFormat="false" ht="94.5" hidden="false" customHeight="true" outlineLevel="0" collapsed="false">
      <c r="A10" s="7" t="n">
        <v>6</v>
      </c>
      <c r="B10" s="7" t="s">
        <v>52</v>
      </c>
      <c r="C10" s="7" t="s">
        <v>53</v>
      </c>
      <c r="D10" s="7" t="s">
        <v>54</v>
      </c>
      <c r="E10" s="8" t="n">
        <v>40000</v>
      </c>
      <c r="F10" s="8" t="n">
        <v>1025</v>
      </c>
      <c r="G10" s="7" t="n">
        <v>41.5</v>
      </c>
      <c r="H10" s="9" t="n">
        <v>0.02</v>
      </c>
      <c r="I10" s="7" t="s">
        <v>55</v>
      </c>
      <c r="J10" s="7" t="n">
        <v>12</v>
      </c>
      <c r="K10" s="7" t="s">
        <v>56</v>
      </c>
      <c r="L10" s="10" t="s">
        <v>57</v>
      </c>
      <c r="M10" s="10" t="s">
        <v>58</v>
      </c>
      <c r="N10" s="7" t="s">
        <v>59</v>
      </c>
    </row>
    <row r="11" customFormat="false" ht="94.5" hidden="false" customHeight="true" outlineLevel="0" collapsed="false">
      <c r="A11" s="7" t="n">
        <v>7</v>
      </c>
      <c r="B11" s="7" t="s">
        <v>52</v>
      </c>
      <c r="C11" s="7" t="s">
        <v>60</v>
      </c>
      <c r="D11" s="7" t="s">
        <v>61</v>
      </c>
      <c r="E11" s="8" t="n">
        <v>38000</v>
      </c>
      <c r="F11" s="8" t="n">
        <v>3431</v>
      </c>
      <c r="G11" s="7" t="n">
        <v>40.2</v>
      </c>
      <c r="H11" s="7" t="s">
        <v>62</v>
      </c>
      <c r="I11" s="7" t="s">
        <v>63</v>
      </c>
      <c r="J11" s="7" t="s">
        <v>62</v>
      </c>
      <c r="K11" s="7" t="s">
        <v>64</v>
      </c>
      <c r="L11" s="10" t="s">
        <v>65</v>
      </c>
      <c r="M11" s="10" t="s">
        <v>66</v>
      </c>
      <c r="N11" s="7" t="s">
        <v>67</v>
      </c>
    </row>
    <row r="12" customFormat="false" ht="94.5" hidden="false" customHeight="true" outlineLevel="0" collapsed="false">
      <c r="A12" s="7" t="n">
        <v>8</v>
      </c>
      <c r="B12" s="7" t="s">
        <v>52</v>
      </c>
      <c r="C12" s="7" t="s">
        <v>68</v>
      </c>
      <c r="D12" s="7" t="s">
        <v>69</v>
      </c>
      <c r="E12" s="8" t="n">
        <v>108000</v>
      </c>
      <c r="F12" s="8" t="n">
        <v>1197</v>
      </c>
      <c r="G12" s="7" t="n">
        <v>129.3</v>
      </c>
      <c r="H12" s="9" t="n">
        <v>0.75</v>
      </c>
      <c r="I12" s="7" t="s">
        <v>70</v>
      </c>
      <c r="J12" s="7" t="n">
        <v>110</v>
      </c>
      <c r="K12" s="7" t="s">
        <v>71</v>
      </c>
      <c r="L12" s="10" t="s">
        <v>72</v>
      </c>
      <c r="M12" s="10" t="s">
        <v>73</v>
      </c>
      <c r="N12" s="7" t="s">
        <v>74</v>
      </c>
    </row>
    <row r="13" customFormat="false" ht="94.5" hidden="false" customHeight="true" outlineLevel="0" collapsed="false">
      <c r="A13" s="7" t="n">
        <v>9</v>
      </c>
      <c r="B13" s="7" t="s">
        <v>52</v>
      </c>
      <c r="C13" s="7" t="s">
        <v>75</v>
      </c>
      <c r="D13" s="7" t="s">
        <v>76</v>
      </c>
      <c r="E13" s="8" t="n">
        <v>23000</v>
      </c>
      <c r="F13" s="8" t="n">
        <v>3326</v>
      </c>
      <c r="G13" s="7" t="n">
        <v>74.2</v>
      </c>
      <c r="H13" s="7" t="s">
        <v>62</v>
      </c>
      <c r="I13" s="7" t="s">
        <v>63</v>
      </c>
      <c r="J13" s="7" t="s">
        <v>62</v>
      </c>
      <c r="K13" s="7" t="s">
        <v>77</v>
      </c>
      <c r="L13" s="10" t="s">
        <v>78</v>
      </c>
      <c r="M13" s="10" t="s">
        <v>79</v>
      </c>
      <c r="N13" s="7" t="s">
        <v>80</v>
      </c>
    </row>
    <row r="14" customFormat="false" ht="94.5" hidden="false" customHeight="true" outlineLevel="0" collapsed="false">
      <c r="A14" s="7" t="n">
        <v>10</v>
      </c>
      <c r="B14" s="7" t="s">
        <v>52</v>
      </c>
      <c r="C14" s="7" t="s">
        <v>81</v>
      </c>
      <c r="D14" s="7" t="s">
        <v>82</v>
      </c>
      <c r="E14" s="8" t="n">
        <v>120000</v>
      </c>
      <c r="F14" s="8" t="n">
        <v>253</v>
      </c>
      <c r="G14" s="7" t="n">
        <v>30.5</v>
      </c>
      <c r="H14" s="7" t="s">
        <v>62</v>
      </c>
      <c r="I14" s="7" t="s">
        <v>63</v>
      </c>
      <c r="J14" s="7" t="s">
        <v>62</v>
      </c>
      <c r="K14" s="7" t="s">
        <v>83</v>
      </c>
      <c r="L14" s="10" t="s">
        <v>84</v>
      </c>
      <c r="M14" s="10" t="s">
        <v>85</v>
      </c>
      <c r="N14" s="7" t="s">
        <v>86</v>
      </c>
    </row>
  </sheetData>
  <hyperlinks>
    <hyperlink ref="L5" r:id="rId1" display="https://www.fastmoss.com/e-commerce/detail/1731136149237827725"/>
    <hyperlink ref="M5" r:id="rId2" display="https://www.fastmoss.com/shop-marketing/detail/7494771980958271629"/>
    <hyperlink ref="L6" r:id="rId3" display="https://www.fastmoss.com/e-commerce/detail/1734123185784194225"/>
    <hyperlink ref="M6" r:id="rId4" display="https://www.fastmoss.com/shop-marketing/detail/7496271508515489969"/>
    <hyperlink ref="L7" r:id="rId5" display="https://www.fastmoss.com/e-commerce/detail/1731146109109241437"/>
    <hyperlink ref="M7" r:id="rId6" display="https://www.fastmoss.com/shop-marketing/detail/7496103480138631773"/>
    <hyperlink ref="L8" r:id="rId7" display="https://www.fastmoss.com/e-commerce/detail/1732000296416873186"/>
    <hyperlink ref="M8" r:id="rId8" display="https://www.fastmoss.com/shop-marketing/detail/7496109231906523874"/>
    <hyperlink ref="L9" r:id="rId9" display="https://www.fastmoss.com/e-commerce/detail/1731626774315436543"/>
    <hyperlink ref="M9" r:id="rId10" display="https://www.fastmoss.com/shop-marketing/detail/7496026555288619519"/>
    <hyperlink ref="L10" r:id="rId11" display="https://www.fastmoss.com/e-commerce/detail/1729577252422322301"/>
    <hyperlink ref="M10" r:id="rId12" display="https://www.fastmoss.com/shop-marketing/detail/7494603415173236861"/>
    <hyperlink ref="L11" r:id="rId13" display="https://www.fastmoss.com/e-commerce/detail/1730454420724287763"/>
    <hyperlink ref="M11" r:id="rId14" display="https://www.fastmoss.com/shop-marketing/detail/7494628106930718995"/>
    <hyperlink ref="L12" r:id="rId15" display="https://www.fastmoss.com/e-commerce/detail/1736575107277424283"/>
    <hyperlink ref="M12" r:id="rId16" display="https://www.fastmoss.com/shop-marketing/detail/7494086699617257115"/>
    <hyperlink ref="L13" r:id="rId17" display="https://www.fastmoss.com/e-commerce/detail/1733032980288014229"/>
    <hyperlink ref="M13" r:id="rId18" display="https://www.fastmoss.com/shop-marketing/detail/7494194365011560341"/>
    <hyperlink ref="L14" r:id="rId19" display="https://www.fastmoss.com/e-commerce/detail/1729605935821785987"/>
    <hyperlink ref="M14" r:id="rId20" display="https://www.fastmoss.com/shop-marketing/detail/749463810438231129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90"/>
    <col collapsed="false" customWidth="true" hidden="false" outlineLevel="0" max="4" min="4" style="0" width="50"/>
  </cols>
  <sheetData>
    <row r="1" customFormat="false" ht="16.15" hidden="false" customHeight="false" outlineLevel="0" collapsed="false">
      <c r="A1" s="1" t="s">
        <v>87</v>
      </c>
    </row>
    <row r="2" customFormat="false" ht="15" hidden="false" customHeight="false" outlineLevel="0" collapsed="false">
      <c r="A2" s="0" t="s">
        <v>88</v>
      </c>
    </row>
    <row r="4" customFormat="false" ht="15" hidden="false" customHeight="false" outlineLevel="0" collapsed="false">
      <c r="A4" s="2" t="s">
        <v>2</v>
      </c>
      <c r="B4" s="2" t="s">
        <v>4</v>
      </c>
      <c r="C4" s="2" t="s">
        <v>89</v>
      </c>
      <c r="D4" s="2" t="s">
        <v>90</v>
      </c>
    </row>
    <row r="5" customFormat="false" ht="54.75" hidden="false" customHeight="true" outlineLevel="0" collapsed="false">
      <c r="A5" s="3" t="n">
        <v>1</v>
      </c>
      <c r="B5" s="3" t="s">
        <v>91</v>
      </c>
      <c r="C5" s="11" t="s">
        <v>92</v>
      </c>
      <c r="D5" s="3" t="s">
        <v>93</v>
      </c>
    </row>
    <row r="6" customFormat="false" ht="54.75" hidden="false" customHeight="true" outlineLevel="0" collapsed="false">
      <c r="A6" s="3" t="n">
        <v>2</v>
      </c>
      <c r="B6" s="3" t="s">
        <v>94</v>
      </c>
      <c r="C6" s="11" t="s">
        <v>95</v>
      </c>
      <c r="D6" s="3" t="s">
        <v>96</v>
      </c>
    </row>
    <row r="7" customFormat="false" ht="54.75" hidden="false" customHeight="true" outlineLevel="0" collapsed="false">
      <c r="A7" s="3" t="n">
        <v>3</v>
      </c>
      <c r="B7" s="3" t="s">
        <v>97</v>
      </c>
      <c r="C7" s="11" t="s">
        <v>98</v>
      </c>
      <c r="D7" s="3" t="s">
        <v>99</v>
      </c>
    </row>
    <row r="8" customFormat="false" ht="54.75" hidden="false" customHeight="true" outlineLevel="0" collapsed="false">
      <c r="A8" s="3" t="n">
        <v>4</v>
      </c>
      <c r="B8" s="3" t="s">
        <v>100</v>
      </c>
      <c r="C8" s="3" t="s">
        <v>101</v>
      </c>
      <c r="D8" s="3" t="s">
        <v>102</v>
      </c>
    </row>
    <row r="9" customFormat="false" ht="54.75" hidden="false" customHeight="true" outlineLevel="0" collapsed="false">
      <c r="A9" s="3" t="n">
        <v>5</v>
      </c>
      <c r="B9" s="3" t="s">
        <v>103</v>
      </c>
      <c r="C9" s="11" t="s">
        <v>104</v>
      </c>
      <c r="D9" s="3" t="s">
        <v>105</v>
      </c>
    </row>
    <row r="10" customFormat="false" ht="54.75" hidden="false" customHeight="true" outlineLevel="0" collapsed="false">
      <c r="A10" s="7" t="n">
        <v>6</v>
      </c>
      <c r="B10" s="7" t="s">
        <v>106</v>
      </c>
      <c r="C10" s="12" t="s">
        <v>107</v>
      </c>
      <c r="D10" s="7" t="s">
        <v>108</v>
      </c>
    </row>
    <row r="11" customFormat="false" ht="54.75" hidden="false" customHeight="true" outlineLevel="0" collapsed="false">
      <c r="A11" s="7" t="n">
        <v>7</v>
      </c>
      <c r="B11" s="7" t="s">
        <v>109</v>
      </c>
      <c r="C11" s="12" t="s">
        <v>110</v>
      </c>
      <c r="D11" s="7" t="s">
        <v>111</v>
      </c>
    </row>
    <row r="12" customFormat="false" ht="54.75" hidden="false" customHeight="true" outlineLevel="0" collapsed="false">
      <c r="A12" s="7" t="n">
        <v>8</v>
      </c>
      <c r="B12" s="7" t="s">
        <v>112</v>
      </c>
      <c r="C12" s="12" t="s">
        <v>113</v>
      </c>
      <c r="D12" s="7" t="s">
        <v>114</v>
      </c>
    </row>
    <row r="13" customFormat="false" ht="54.75" hidden="false" customHeight="true" outlineLevel="0" collapsed="false">
      <c r="A13" s="7" t="n">
        <v>9</v>
      </c>
      <c r="B13" s="7" t="s">
        <v>115</v>
      </c>
      <c r="C13" s="12" t="s">
        <v>116</v>
      </c>
      <c r="D13" s="7" t="s">
        <v>117</v>
      </c>
    </row>
    <row r="14" customFormat="false" ht="54.75" hidden="false" customHeight="true" outlineLevel="0" collapsed="false">
      <c r="A14" s="7" t="n">
        <v>10</v>
      </c>
      <c r="B14" s="7" t="s">
        <v>118</v>
      </c>
      <c r="C14" s="12" t="s">
        <v>119</v>
      </c>
      <c r="D14" s="7"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7" min="6" style="0" width="18"/>
    <col collapsed="false" customWidth="true" hidden="false" outlineLevel="0" max="8" min="8" style="0" width="20"/>
    <col collapsed="false" customWidth="true" hidden="false" outlineLevel="0" max="9" min="9" style="0" width="16"/>
    <col collapsed="false" customWidth="true" hidden="false" outlineLevel="0" max="10" min="10" style="0" width="12"/>
    <col collapsed="false" customWidth="true" hidden="false" outlineLevel="0" max="11" min="11" style="0" width="24"/>
  </cols>
  <sheetData>
    <row r="1" customFormat="false" ht="16.15" hidden="false" customHeight="false" outlineLevel="0" collapsed="false">
      <c r="A1" s="1" t="s">
        <v>121</v>
      </c>
    </row>
    <row r="3" customFormat="false" ht="15" hidden="false" customHeight="false" outlineLevel="0" collapsed="false">
      <c r="A3" s="0" t="s">
        <v>122</v>
      </c>
      <c r="B3" s="13" t="n">
        <v>3650</v>
      </c>
    </row>
    <row r="4" customFormat="false" ht="15" hidden="false" customHeight="false" outlineLevel="0" collapsed="false">
      <c r="A4" s="0" t="s">
        <v>123</v>
      </c>
      <c r="B4" s="14" t="n">
        <v>0.1</v>
      </c>
    </row>
    <row r="5" customFormat="false" ht="15" hidden="false" customHeight="false" outlineLevel="0" collapsed="false">
      <c r="A5" s="0" t="s">
        <v>124</v>
      </c>
      <c r="B5" s="14" t="n">
        <v>0.25</v>
      </c>
    </row>
    <row r="6" customFormat="false" ht="15" hidden="false" customHeight="false" outlineLevel="0" collapsed="false">
      <c r="A6" s="0" t="s">
        <v>125</v>
      </c>
    </row>
    <row r="8" customFormat="false" ht="45" hidden="false" customHeight="true" outlineLevel="0" collapsed="false">
      <c r="A8" s="2" t="s">
        <v>2</v>
      </c>
      <c r="B8" s="2" t="s">
        <v>4</v>
      </c>
      <c r="C8" s="2" t="s">
        <v>126</v>
      </c>
      <c r="D8" s="2" t="s">
        <v>127</v>
      </c>
      <c r="E8" s="2" t="s">
        <v>128</v>
      </c>
      <c r="F8" s="2" t="s">
        <v>129</v>
      </c>
      <c r="G8" s="2" t="s">
        <v>130</v>
      </c>
      <c r="H8" s="2" t="s">
        <v>131</v>
      </c>
      <c r="I8" s="2" t="s">
        <v>132</v>
      </c>
      <c r="J8" s="2" t="s">
        <v>133</v>
      </c>
      <c r="K8" s="2" t="s">
        <v>134</v>
      </c>
    </row>
    <row r="9" customFormat="false" ht="31.5" hidden="false" customHeight="true" outlineLevel="0" collapsed="false">
      <c r="A9" s="3" t="n">
        <v>1</v>
      </c>
      <c r="B9" s="3" t="s">
        <v>17</v>
      </c>
      <c r="C9" s="4" t="n">
        <v>67000</v>
      </c>
      <c r="D9" s="15" t="n">
        <v>0.12</v>
      </c>
      <c r="E9" s="4" t="n">
        <v>15000</v>
      </c>
      <c r="F9" s="4" t="n">
        <f aca="false">C9*(1-$B$4-D9-$B$5)</f>
        <v>35510</v>
      </c>
      <c r="G9" s="16" t="n">
        <f aca="false">MAX(0,(F9-E9)/$B$3)</f>
        <v>5.61917808219178</v>
      </c>
      <c r="H9" s="17"/>
      <c r="I9" s="4" t="str">
        <f aca="false">IF(H9="","",C9*(1-$B$4-D9)-H9*$B$3-E9)</f>
        <v/>
      </c>
      <c r="J9" s="5" t="str">
        <f aca="false">IF(H9="","",I9/C9)</f>
        <v/>
      </c>
      <c r="K9" s="3" t="str">
        <f aca="false">IF(H9="","Chờ giá 1688",IF(H9&lt;=G9,"Đạt mục tiêu lãi","Giá nhập quá cao"))</f>
        <v>Chờ giá 1688</v>
      </c>
    </row>
    <row r="10" customFormat="false" ht="31.5" hidden="false" customHeight="true" outlineLevel="0" collapsed="false">
      <c r="A10" s="3" t="n">
        <v>2</v>
      </c>
      <c r="B10" s="3" t="s">
        <v>24</v>
      </c>
      <c r="C10" s="4" t="n">
        <v>44000</v>
      </c>
      <c r="D10" s="15" t="n">
        <v>0.1</v>
      </c>
      <c r="E10" s="4" t="n">
        <v>8000</v>
      </c>
      <c r="F10" s="4" t="n">
        <f aca="false">C10*(1-$B$4-D10-$B$5)</f>
        <v>24200</v>
      </c>
      <c r="G10" s="16" t="n">
        <f aca="false">MAX(0,(F10-E10)/$B$3)</f>
        <v>4.43835616438356</v>
      </c>
      <c r="H10" s="17"/>
      <c r="I10" s="4" t="str">
        <f aca="false">IF(H10="","",C10*(1-$B$4-D10)-H10*$B$3-E10)</f>
        <v/>
      </c>
      <c r="J10" s="5" t="str">
        <f aca="false">IF(H10="","",I10/C10)</f>
        <v/>
      </c>
      <c r="K10" s="3" t="str">
        <f aca="false">IF(H10="","Chờ giá 1688",IF(H10&lt;=G10,"Đạt mục tiêu lãi","Giá nhập quá cao"))</f>
        <v>Chờ giá 1688</v>
      </c>
    </row>
    <row r="11" customFormat="false" ht="31.5" hidden="false" customHeight="true" outlineLevel="0" collapsed="false">
      <c r="A11" s="3" t="n">
        <v>3</v>
      </c>
      <c r="B11" s="3" t="s">
        <v>31</v>
      </c>
      <c r="C11" s="4" t="n">
        <v>62000</v>
      </c>
      <c r="D11" s="15" t="n">
        <v>0.05</v>
      </c>
      <c r="E11" s="4" t="n">
        <v>8000</v>
      </c>
      <c r="F11" s="4" t="n">
        <f aca="false">C11*(1-$B$4-D11-$B$5)</f>
        <v>37200</v>
      </c>
      <c r="G11" s="16" t="n">
        <f aca="false">MAX(0,(F11-E11)/$B$3)</f>
        <v>8</v>
      </c>
      <c r="H11" s="17"/>
      <c r="I11" s="4" t="str">
        <f aca="false">IF(H11="","",C11*(1-$B$4-D11)-H11*$B$3-E11)</f>
        <v/>
      </c>
      <c r="J11" s="5" t="str">
        <f aca="false">IF(H11="","",I11/C11)</f>
        <v/>
      </c>
      <c r="K11" s="3" t="str">
        <f aca="false">IF(H11="","Chờ giá 1688",IF(H11&lt;=G11,"Đạt mục tiêu lãi","Giá nhập quá cao"))</f>
        <v>Chờ giá 1688</v>
      </c>
    </row>
    <row r="12" customFormat="false" ht="31.5" hidden="false" customHeight="true" outlineLevel="0" collapsed="false">
      <c r="A12" s="3" t="n">
        <v>4</v>
      </c>
      <c r="B12" s="3" t="s">
        <v>38</v>
      </c>
      <c r="C12" s="4" t="n">
        <v>78000</v>
      </c>
      <c r="D12" s="15" t="n">
        <v>0.105</v>
      </c>
      <c r="E12" s="4" t="n">
        <v>8000</v>
      </c>
      <c r="F12" s="4" t="n">
        <f aca="false">C12*(1-$B$4-D12-$B$5)</f>
        <v>42510</v>
      </c>
      <c r="G12" s="16" t="n">
        <f aca="false">MAX(0,(F12-E12)/$B$3)</f>
        <v>9.45479452054795</v>
      </c>
      <c r="H12" s="17"/>
      <c r="I12" s="4" t="str">
        <f aca="false">IF(H12="","",C12*(1-$B$4-D12)-H12*$B$3-E12)</f>
        <v/>
      </c>
      <c r="J12" s="5" t="str">
        <f aca="false">IF(H12="","",I12/C12)</f>
        <v/>
      </c>
      <c r="K12" s="3" t="str">
        <f aca="false">IF(H12="","Chờ giá 1688",IF(H12&lt;=G12,"Đạt mục tiêu lãi","Giá nhập quá cao"))</f>
        <v>Chờ giá 1688</v>
      </c>
    </row>
    <row r="13" customFormat="false" ht="31.5" hidden="false" customHeight="true" outlineLevel="0" collapsed="false">
      <c r="A13" s="3" t="n">
        <v>5</v>
      </c>
      <c r="B13" s="3" t="s">
        <v>45</v>
      </c>
      <c r="C13" s="4" t="n">
        <v>51000</v>
      </c>
      <c r="D13" s="15" t="n">
        <v>0.06</v>
      </c>
      <c r="E13" s="4" t="n">
        <v>8000</v>
      </c>
      <c r="F13" s="4" t="n">
        <f aca="false">C13*(1-$B$4-D13-$B$5)</f>
        <v>30090</v>
      </c>
      <c r="G13" s="16" t="n">
        <f aca="false">MAX(0,(F13-E13)/$B$3)</f>
        <v>6.05205479452055</v>
      </c>
      <c r="H13" s="17"/>
      <c r="I13" s="4" t="str">
        <f aca="false">IF(H13="","",C13*(1-$B$4-D13)-H13*$B$3-E13)</f>
        <v/>
      </c>
      <c r="J13" s="5" t="str">
        <f aca="false">IF(H13="","",I13/C13)</f>
        <v/>
      </c>
      <c r="K13" s="3" t="str">
        <f aca="false">IF(H13="","Chờ giá 1688",IF(H13&lt;=G13,"Đạt mục tiêu lãi","Giá nhập quá cao"))</f>
        <v>Chờ giá 1688</v>
      </c>
    </row>
    <row r="14" customFormat="false" ht="31.5" hidden="false" customHeight="true" outlineLevel="0" collapsed="false">
      <c r="A14" s="7" t="n">
        <v>6</v>
      </c>
      <c r="B14" s="7" t="s">
        <v>53</v>
      </c>
      <c r="C14" s="8" t="n">
        <v>40000</v>
      </c>
      <c r="D14" s="18" t="n">
        <v>0.12</v>
      </c>
      <c r="E14" s="8" t="n">
        <v>8000</v>
      </c>
      <c r="F14" s="8" t="n">
        <f aca="false">C14*(1-$B$4-D14-$B$5)</f>
        <v>21200</v>
      </c>
      <c r="G14" s="19" t="n">
        <f aca="false">MAX(0,(F14-E14)/$B$3)</f>
        <v>3.61643835616438</v>
      </c>
      <c r="H14" s="17"/>
      <c r="I14" s="8" t="str">
        <f aca="false">IF(H14="","",C14*(1-$B$4-D14)-H14*$B$3-E14)</f>
        <v/>
      </c>
      <c r="J14" s="9" t="str">
        <f aca="false">IF(H14="","",I14/C14)</f>
        <v/>
      </c>
      <c r="K14" s="7" t="str">
        <f aca="false">IF(H14="","Chờ giá 1688",IF(H14&lt;=G14,"Đạt mục tiêu lãi","Giá nhập quá cao"))</f>
        <v>Chờ giá 1688</v>
      </c>
    </row>
    <row r="15" customFormat="false" ht="31.5" hidden="false" customHeight="true" outlineLevel="0" collapsed="false">
      <c r="A15" s="7" t="n">
        <v>7</v>
      </c>
      <c r="B15" s="7" t="s">
        <v>60</v>
      </c>
      <c r="C15" s="8" t="n">
        <v>38000</v>
      </c>
      <c r="D15" s="18" t="n">
        <v>0.115</v>
      </c>
      <c r="E15" s="8" t="n">
        <v>8000</v>
      </c>
      <c r="F15" s="8" t="n">
        <f aca="false">C15*(1-$B$4-D15-$B$5)</f>
        <v>20330</v>
      </c>
      <c r="G15" s="19" t="n">
        <f aca="false">MAX(0,(F15-E15)/$B$3)</f>
        <v>3.37808219178082</v>
      </c>
      <c r="H15" s="17"/>
      <c r="I15" s="8" t="str">
        <f aca="false">IF(H15="","",C15*(1-$B$4-D15)-H15*$B$3-E15)</f>
        <v/>
      </c>
      <c r="J15" s="9" t="str">
        <f aca="false">IF(H15="","",I15/C15)</f>
        <v/>
      </c>
      <c r="K15" s="7" t="str">
        <f aca="false">IF(H15="","Chờ giá 1688",IF(H15&lt;=G15,"Đạt mục tiêu lãi","Giá nhập quá cao"))</f>
        <v>Chờ giá 1688</v>
      </c>
    </row>
    <row r="16" customFormat="false" ht="31.5" hidden="false" customHeight="true" outlineLevel="0" collapsed="false">
      <c r="A16" s="7" t="n">
        <v>8</v>
      </c>
      <c r="B16" s="7" t="s">
        <v>68</v>
      </c>
      <c r="C16" s="8" t="n">
        <v>108000</v>
      </c>
      <c r="D16" s="18" t="n">
        <v>0.1</v>
      </c>
      <c r="E16" s="8" t="n">
        <v>12000</v>
      </c>
      <c r="F16" s="8" t="n">
        <f aca="false">C16*(1-$B$4-D16-$B$5)</f>
        <v>59400</v>
      </c>
      <c r="G16" s="19" t="n">
        <f aca="false">MAX(0,(F16-E16)/$B$3)</f>
        <v>12.986301369863</v>
      </c>
      <c r="H16" s="17"/>
      <c r="I16" s="8" t="str">
        <f aca="false">IF(H16="","",C16*(1-$B$4-D16)-H16*$B$3-E16)</f>
        <v/>
      </c>
      <c r="J16" s="9" t="str">
        <f aca="false">IF(H16="","",I16/C16)</f>
        <v/>
      </c>
      <c r="K16" s="7" t="str">
        <f aca="false">IF(H16="","Chờ giá 1688",IF(H16&lt;=G16,"Đạt mục tiêu lãi","Giá nhập quá cao"))</f>
        <v>Chờ giá 1688</v>
      </c>
    </row>
    <row r="17" customFormat="false" ht="31.5" hidden="false" customHeight="true" outlineLevel="0" collapsed="false">
      <c r="A17" s="7" t="n">
        <v>9</v>
      </c>
      <c r="B17" s="7" t="s">
        <v>75</v>
      </c>
      <c r="C17" s="8" t="n">
        <v>23000</v>
      </c>
      <c r="D17" s="18" t="n">
        <v>0.08</v>
      </c>
      <c r="E17" s="8" t="n">
        <v>8000</v>
      </c>
      <c r="F17" s="8" t="n">
        <f aca="false">C17*(1-$B$4-D17-$B$5)</f>
        <v>13110</v>
      </c>
      <c r="G17" s="19" t="n">
        <f aca="false">MAX(0,(F17-E17)/$B$3)</f>
        <v>1.4</v>
      </c>
      <c r="H17" s="17"/>
      <c r="I17" s="8" t="str">
        <f aca="false">IF(H17="","",C17*(1-$B$4-D17)-H17*$B$3-E17)</f>
        <v/>
      </c>
      <c r="J17" s="9" t="str">
        <f aca="false">IF(H17="","",I17/C17)</f>
        <v/>
      </c>
      <c r="K17" s="7" t="str">
        <f aca="false">IF(H17="","Chờ giá 1688",IF(H17&lt;=G17,"Đạt mục tiêu lãi","Giá nhập quá cao"))</f>
        <v>Chờ giá 1688</v>
      </c>
    </row>
    <row r="18" customFormat="false" ht="31.5" hidden="false" customHeight="true" outlineLevel="0" collapsed="false">
      <c r="A18" s="7" t="n">
        <v>10</v>
      </c>
      <c r="B18" s="7" t="s">
        <v>81</v>
      </c>
      <c r="C18" s="8" t="n">
        <v>120000</v>
      </c>
      <c r="D18" s="18" t="n">
        <v>0.07</v>
      </c>
      <c r="E18" s="8" t="n">
        <v>18000</v>
      </c>
      <c r="F18" s="8" t="n">
        <f aca="false">C18*(1-$B$4-D18-$B$5)</f>
        <v>69600</v>
      </c>
      <c r="G18" s="19" t="n">
        <f aca="false">MAX(0,(F18-E18)/$B$3)</f>
        <v>14.1369863013699</v>
      </c>
      <c r="H18" s="17"/>
      <c r="I18" s="8" t="str">
        <f aca="false">IF(H18="","",C18*(1-$B$4-D18)-H18*$B$3-E18)</f>
        <v/>
      </c>
      <c r="J18" s="9" t="str">
        <f aca="false">IF(H18="","",I18/C18)</f>
        <v/>
      </c>
      <c r="K18" s="7" t="str">
        <f aca="false">IF(H18="","Chờ giá 1688",IF(H18&lt;=G18,"Đạt mục tiêu lãi","Giá nhập quá cao"))</f>
        <v>Chờ giá 1688</v>
      </c>
    </row>
    <row r="21" customFormat="false" ht="15" hidden="false" customHeight="false" outlineLevel="0" collapsed="false">
      <c r="A21" s="20" t="s">
        <v>135</v>
      </c>
    </row>
    <row r="22" customFormat="false" ht="15" hidden="false" customHeight="false" outlineLevel="0" collapsed="false">
      <c r="A22" s="0" t="s">
        <v>136</v>
      </c>
      <c r="D22" s="21"/>
    </row>
    <row r="23" customFormat="false" ht="15" hidden="false" customHeight="false" outlineLevel="0" collapsed="false">
      <c r="A23" s="0" t="s">
        <v>137</v>
      </c>
      <c r="D23" s="22" t="n">
        <v>5</v>
      </c>
    </row>
    <row r="24" customFormat="false" ht="15" hidden="false" customHeight="false" outlineLevel="0" collapsed="false">
      <c r="A24" s="0" t="s">
        <v>138</v>
      </c>
      <c r="D24" s="23" t="str">
        <f aca="false">IF(D22="","",D22/D23)</f>
        <v/>
      </c>
    </row>
    <row r="25" customFormat="false" ht="15" hidden="false" customHeight="false" outlineLevel="0" collapsed="false">
      <c r="A25" s="0" t="s">
        <v>139</v>
      </c>
    </row>
    <row r="26" customFormat="false" ht="15" hidden="false" customHeight="false" outlineLevel="0" collapsed="false">
      <c r="A26" s="0"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2"/>
    <col collapsed="false" customWidth="true" hidden="false" outlineLevel="0" max="4" min="4" style="0" width="26"/>
    <col collapsed="false" customWidth="true" hidden="false" outlineLevel="0" max="6" min="5" style="0" width="36"/>
    <col collapsed="false" customWidth="true" hidden="false" outlineLevel="0" max="7" min="7" style="0" width="18"/>
    <col collapsed="false" customWidth="true" hidden="false" outlineLevel="0" max="8" min="8" style="0" width="16"/>
    <col collapsed="false" customWidth="true" hidden="false" outlineLevel="0" max="9" min="9" style="0" width="10"/>
    <col collapsed="false" customWidth="true" hidden="false" outlineLevel="0" max="10" min="10" style="0" width="2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36"/>
  </cols>
  <sheetData>
    <row r="1" customFormat="false" ht="16.15" hidden="false" customHeight="false" outlineLevel="0" collapsed="false">
      <c r="A1" s="1" t="s">
        <v>141</v>
      </c>
    </row>
    <row r="2" customFormat="false" ht="15" hidden="false" customHeight="false" outlineLevel="0" collapsed="false">
      <c r="A2" s="0" t="s">
        <v>142</v>
      </c>
    </row>
    <row r="4" customFormat="false" ht="45" hidden="false" customHeight="true" outlineLevel="0" collapsed="false">
      <c r="A4" s="2" t="s">
        <v>2</v>
      </c>
      <c r="B4" s="2" t="s">
        <v>4</v>
      </c>
      <c r="C4" s="2" t="s">
        <v>143</v>
      </c>
      <c r="D4" s="2" t="s">
        <v>144</v>
      </c>
      <c r="E4" s="2" t="s">
        <v>145</v>
      </c>
      <c r="F4" s="2" t="s">
        <v>146</v>
      </c>
      <c r="G4" s="2" t="s">
        <v>147</v>
      </c>
      <c r="H4" s="2" t="s">
        <v>148</v>
      </c>
      <c r="I4" s="2" t="s">
        <v>149</v>
      </c>
      <c r="J4" s="2" t="s">
        <v>150</v>
      </c>
      <c r="K4" s="2" t="s">
        <v>151</v>
      </c>
      <c r="L4" s="2" t="s">
        <v>152</v>
      </c>
      <c r="M4" s="2" t="s">
        <v>153</v>
      </c>
      <c r="N4" s="2" t="s">
        <v>154</v>
      </c>
    </row>
    <row r="5" customFormat="false" ht="27.75" hidden="false" customHeight="true" outlineLevel="0" collapsed="false">
      <c r="A5" s="3" t="n">
        <v>1</v>
      </c>
      <c r="B5" s="3" t="s">
        <v>17</v>
      </c>
      <c r="C5" s="3" t="n">
        <v>1</v>
      </c>
      <c r="D5" s="24"/>
      <c r="E5" s="24"/>
      <c r="F5" s="24"/>
      <c r="G5" s="24"/>
      <c r="H5" s="24"/>
      <c r="I5" s="24"/>
      <c r="J5" s="24"/>
      <c r="K5" s="24"/>
      <c r="L5" s="24"/>
      <c r="M5" s="24"/>
      <c r="N5" s="24"/>
    </row>
    <row r="6" customFormat="false" ht="27.75" hidden="false" customHeight="true" outlineLevel="0" collapsed="false">
      <c r="A6" s="3" t="n">
        <v>1</v>
      </c>
      <c r="B6" s="3" t="s">
        <v>17</v>
      </c>
      <c r="C6" s="3" t="n">
        <v>2</v>
      </c>
      <c r="D6" s="24"/>
      <c r="E6" s="24"/>
      <c r="F6" s="24"/>
      <c r="G6" s="24"/>
      <c r="H6" s="24"/>
      <c r="I6" s="24"/>
      <c r="J6" s="24"/>
      <c r="K6" s="24"/>
      <c r="L6" s="24"/>
      <c r="M6" s="24"/>
      <c r="N6" s="24"/>
    </row>
    <row r="7" customFormat="false" ht="27.75" hidden="false" customHeight="true" outlineLevel="0" collapsed="false">
      <c r="A7" s="3" t="n">
        <v>2</v>
      </c>
      <c r="B7" s="3" t="s">
        <v>24</v>
      </c>
      <c r="C7" s="3" t="n">
        <v>1</v>
      </c>
      <c r="D7" s="24"/>
      <c r="E7" s="24"/>
      <c r="F7" s="24"/>
      <c r="G7" s="24"/>
      <c r="H7" s="24"/>
      <c r="I7" s="24"/>
      <c r="J7" s="24"/>
      <c r="K7" s="24"/>
      <c r="L7" s="24"/>
      <c r="M7" s="24"/>
      <c r="N7" s="24"/>
    </row>
    <row r="8" customFormat="false" ht="27.75" hidden="false" customHeight="true" outlineLevel="0" collapsed="false">
      <c r="A8" s="3" t="n">
        <v>2</v>
      </c>
      <c r="B8" s="3" t="s">
        <v>24</v>
      </c>
      <c r="C8" s="3" t="n">
        <v>2</v>
      </c>
      <c r="D8" s="24"/>
      <c r="E8" s="24"/>
      <c r="F8" s="24"/>
      <c r="G8" s="24"/>
      <c r="H8" s="24"/>
      <c r="I8" s="24"/>
      <c r="J8" s="24"/>
      <c r="K8" s="24"/>
      <c r="L8" s="24"/>
      <c r="M8" s="24"/>
      <c r="N8" s="24"/>
    </row>
    <row r="9" customFormat="false" ht="27.75" hidden="false" customHeight="true" outlineLevel="0" collapsed="false">
      <c r="A9" s="3" t="n">
        <v>3</v>
      </c>
      <c r="B9" s="3" t="s">
        <v>31</v>
      </c>
      <c r="C9" s="3" t="n">
        <v>1</v>
      </c>
      <c r="D9" s="24"/>
      <c r="E9" s="24"/>
      <c r="F9" s="24"/>
      <c r="G9" s="24"/>
      <c r="H9" s="24"/>
      <c r="I9" s="24"/>
      <c r="J9" s="24"/>
      <c r="K9" s="24"/>
      <c r="L9" s="24"/>
      <c r="M9" s="24"/>
      <c r="N9" s="24"/>
    </row>
    <row r="10" customFormat="false" ht="27.75" hidden="false" customHeight="true" outlineLevel="0" collapsed="false">
      <c r="A10" s="3" t="n">
        <v>3</v>
      </c>
      <c r="B10" s="3" t="s">
        <v>31</v>
      </c>
      <c r="C10" s="3" t="n">
        <v>2</v>
      </c>
      <c r="D10" s="24"/>
      <c r="E10" s="24"/>
      <c r="F10" s="24"/>
      <c r="G10" s="24"/>
      <c r="H10" s="24"/>
      <c r="I10" s="24"/>
      <c r="J10" s="24"/>
      <c r="K10" s="24"/>
      <c r="L10" s="24"/>
      <c r="M10" s="24"/>
      <c r="N10" s="24"/>
    </row>
    <row r="11" customFormat="false" ht="27.75" hidden="false" customHeight="true" outlineLevel="0" collapsed="false">
      <c r="A11" s="3" t="n">
        <v>4</v>
      </c>
      <c r="B11" s="3" t="s">
        <v>38</v>
      </c>
      <c r="C11" s="3" t="n">
        <v>1</v>
      </c>
      <c r="D11" s="24"/>
      <c r="E11" s="24"/>
      <c r="F11" s="24"/>
      <c r="G11" s="24"/>
      <c r="H11" s="24"/>
      <c r="I11" s="24"/>
      <c r="J11" s="24"/>
      <c r="K11" s="24"/>
      <c r="L11" s="24"/>
      <c r="M11" s="24"/>
      <c r="N11" s="24"/>
    </row>
    <row r="12" customFormat="false" ht="27.75" hidden="false" customHeight="true" outlineLevel="0" collapsed="false">
      <c r="A12" s="3" t="n">
        <v>4</v>
      </c>
      <c r="B12" s="3" t="s">
        <v>38</v>
      </c>
      <c r="C12" s="3" t="n">
        <v>2</v>
      </c>
      <c r="D12" s="24"/>
      <c r="E12" s="24"/>
      <c r="F12" s="24"/>
      <c r="G12" s="24"/>
      <c r="H12" s="24"/>
      <c r="I12" s="24"/>
      <c r="J12" s="24"/>
      <c r="K12" s="24"/>
      <c r="L12" s="24"/>
      <c r="M12" s="24"/>
      <c r="N12" s="24"/>
    </row>
    <row r="13" customFormat="false" ht="27.75" hidden="false" customHeight="true" outlineLevel="0" collapsed="false">
      <c r="A13" s="3" t="n">
        <v>5</v>
      </c>
      <c r="B13" s="3" t="s">
        <v>45</v>
      </c>
      <c r="C13" s="3" t="n">
        <v>1</v>
      </c>
      <c r="D13" s="24"/>
      <c r="E13" s="24"/>
      <c r="F13" s="24"/>
      <c r="G13" s="24"/>
      <c r="H13" s="24"/>
      <c r="I13" s="24"/>
      <c r="J13" s="24"/>
      <c r="K13" s="24"/>
      <c r="L13" s="24"/>
      <c r="M13" s="24"/>
      <c r="N13" s="24"/>
    </row>
    <row r="14" customFormat="false" ht="27.75" hidden="false" customHeight="true" outlineLevel="0" collapsed="false">
      <c r="A14" s="3" t="n">
        <v>5</v>
      </c>
      <c r="B14" s="3" t="s">
        <v>45</v>
      </c>
      <c r="C14" s="3" t="n">
        <v>2</v>
      </c>
      <c r="D14" s="24"/>
      <c r="E14" s="24"/>
      <c r="F14" s="24"/>
      <c r="G14" s="24"/>
      <c r="H14" s="24"/>
      <c r="I14" s="24"/>
      <c r="J14" s="24"/>
      <c r="K14" s="24"/>
      <c r="L14" s="24"/>
      <c r="M14" s="24"/>
      <c r="N14" s="24"/>
    </row>
    <row r="15" customFormat="false" ht="27.75" hidden="false" customHeight="true" outlineLevel="0" collapsed="false">
      <c r="A15" s="7" t="n">
        <v>6</v>
      </c>
      <c r="B15" s="7" t="s">
        <v>53</v>
      </c>
      <c r="C15" s="7" t="n">
        <v>1</v>
      </c>
      <c r="D15" s="24"/>
      <c r="E15" s="24"/>
      <c r="F15" s="24"/>
      <c r="G15" s="24"/>
      <c r="H15" s="24"/>
      <c r="I15" s="24"/>
      <c r="J15" s="24"/>
      <c r="K15" s="24"/>
      <c r="L15" s="24"/>
      <c r="M15" s="24"/>
      <c r="N15" s="24"/>
    </row>
    <row r="16" customFormat="false" ht="27.75" hidden="false" customHeight="true" outlineLevel="0" collapsed="false">
      <c r="A16" s="7" t="n">
        <v>6</v>
      </c>
      <c r="B16" s="7" t="s">
        <v>53</v>
      </c>
      <c r="C16" s="7" t="n">
        <v>2</v>
      </c>
      <c r="D16" s="24"/>
      <c r="E16" s="24"/>
      <c r="F16" s="24"/>
      <c r="G16" s="24"/>
      <c r="H16" s="24"/>
      <c r="I16" s="24"/>
      <c r="J16" s="24"/>
      <c r="K16" s="24"/>
      <c r="L16" s="24"/>
      <c r="M16" s="24"/>
      <c r="N16" s="24"/>
    </row>
    <row r="17" customFormat="false" ht="27.75" hidden="false" customHeight="true" outlineLevel="0" collapsed="false">
      <c r="A17" s="7" t="n">
        <v>7</v>
      </c>
      <c r="B17" s="7" t="s">
        <v>60</v>
      </c>
      <c r="C17" s="7" t="n">
        <v>1</v>
      </c>
      <c r="D17" s="24"/>
      <c r="E17" s="24"/>
      <c r="F17" s="24"/>
      <c r="G17" s="24"/>
      <c r="H17" s="24"/>
      <c r="I17" s="24"/>
      <c r="J17" s="24"/>
      <c r="K17" s="24"/>
      <c r="L17" s="24"/>
      <c r="M17" s="24"/>
      <c r="N17" s="24"/>
    </row>
    <row r="18" customFormat="false" ht="27.75" hidden="false" customHeight="true" outlineLevel="0" collapsed="false">
      <c r="A18" s="7" t="n">
        <v>7</v>
      </c>
      <c r="B18" s="7" t="s">
        <v>60</v>
      </c>
      <c r="C18" s="7" t="n">
        <v>2</v>
      </c>
      <c r="D18" s="24"/>
      <c r="E18" s="24"/>
      <c r="F18" s="24"/>
      <c r="G18" s="24"/>
      <c r="H18" s="24"/>
      <c r="I18" s="24"/>
      <c r="J18" s="24"/>
      <c r="K18" s="24"/>
      <c r="L18" s="24"/>
      <c r="M18" s="24"/>
      <c r="N18" s="24"/>
    </row>
    <row r="19" customFormat="false" ht="27.75" hidden="false" customHeight="true" outlineLevel="0" collapsed="false">
      <c r="A19" s="7" t="n">
        <v>8</v>
      </c>
      <c r="B19" s="7" t="s">
        <v>68</v>
      </c>
      <c r="C19" s="7" t="n">
        <v>1</v>
      </c>
      <c r="D19" s="24"/>
      <c r="E19" s="24"/>
      <c r="F19" s="24"/>
      <c r="G19" s="24"/>
      <c r="H19" s="24"/>
      <c r="I19" s="24"/>
      <c r="J19" s="24"/>
      <c r="K19" s="24"/>
      <c r="L19" s="24"/>
      <c r="M19" s="24"/>
      <c r="N19" s="24"/>
    </row>
    <row r="20" customFormat="false" ht="27.75" hidden="false" customHeight="true" outlineLevel="0" collapsed="false">
      <c r="A20" s="7" t="n">
        <v>8</v>
      </c>
      <c r="B20" s="7" t="s">
        <v>68</v>
      </c>
      <c r="C20" s="7" t="n">
        <v>2</v>
      </c>
      <c r="D20" s="24"/>
      <c r="E20" s="24"/>
      <c r="F20" s="24"/>
      <c r="G20" s="24"/>
      <c r="H20" s="24"/>
      <c r="I20" s="24"/>
      <c r="J20" s="24"/>
      <c r="K20" s="24"/>
      <c r="L20" s="24"/>
      <c r="M20" s="24"/>
      <c r="N20" s="24"/>
    </row>
    <row r="21" customFormat="false" ht="27.75" hidden="false" customHeight="true" outlineLevel="0" collapsed="false">
      <c r="A21" s="7" t="n">
        <v>9</v>
      </c>
      <c r="B21" s="7" t="s">
        <v>75</v>
      </c>
      <c r="C21" s="7" t="n">
        <v>1</v>
      </c>
      <c r="D21" s="24"/>
      <c r="E21" s="24"/>
      <c r="F21" s="24"/>
      <c r="G21" s="24"/>
      <c r="H21" s="24"/>
      <c r="I21" s="24"/>
      <c r="J21" s="24"/>
      <c r="K21" s="24"/>
      <c r="L21" s="24"/>
      <c r="M21" s="24"/>
      <c r="N21" s="24"/>
    </row>
    <row r="22" customFormat="false" ht="27.75" hidden="false" customHeight="true" outlineLevel="0" collapsed="false">
      <c r="A22" s="7" t="n">
        <v>9</v>
      </c>
      <c r="B22" s="7" t="s">
        <v>75</v>
      </c>
      <c r="C22" s="7" t="n">
        <v>2</v>
      </c>
      <c r="D22" s="24"/>
      <c r="E22" s="24"/>
      <c r="F22" s="24"/>
      <c r="G22" s="24"/>
      <c r="H22" s="24"/>
      <c r="I22" s="24"/>
      <c r="J22" s="24"/>
      <c r="K22" s="24"/>
      <c r="L22" s="24"/>
      <c r="M22" s="24"/>
      <c r="N22" s="24"/>
    </row>
    <row r="23" customFormat="false" ht="27.75" hidden="false" customHeight="true" outlineLevel="0" collapsed="false">
      <c r="A23" s="7" t="n">
        <v>10</v>
      </c>
      <c r="B23" s="7" t="s">
        <v>81</v>
      </c>
      <c r="C23" s="7" t="n">
        <v>1</v>
      </c>
      <c r="D23" s="24"/>
      <c r="E23" s="24"/>
      <c r="F23" s="24"/>
      <c r="G23" s="24"/>
      <c r="H23" s="24"/>
      <c r="I23" s="24"/>
      <c r="J23" s="24"/>
      <c r="K23" s="24"/>
      <c r="L23" s="24"/>
      <c r="M23" s="24"/>
      <c r="N23" s="24"/>
    </row>
    <row r="24" customFormat="false" ht="27.75" hidden="false" customHeight="true" outlineLevel="0" collapsed="false">
      <c r="A24" s="7" t="n">
        <v>10</v>
      </c>
      <c r="B24" s="7" t="s">
        <v>81</v>
      </c>
      <c r="C24" s="7" t="n">
        <v>2</v>
      </c>
      <c r="D24" s="24"/>
      <c r="E24" s="24"/>
      <c r="F24" s="24"/>
      <c r="G24" s="24"/>
      <c r="H24" s="24"/>
      <c r="I24" s="24"/>
      <c r="J24" s="24"/>
      <c r="K24" s="24"/>
      <c r="L24" s="24"/>
      <c r="M24" s="24"/>
      <c r="N24"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0"/>
  </cols>
  <sheetData>
    <row r="1" customFormat="false" ht="16.15" hidden="false" customHeight="false" outlineLevel="0" collapsed="false">
      <c r="A1" s="1" t="s">
        <v>155</v>
      </c>
    </row>
    <row r="3" customFormat="false" ht="15" hidden="false" customHeight="false" outlineLevel="0" collapsed="false">
      <c r="A3" s="2" t="s">
        <v>156</v>
      </c>
      <c r="B3" s="2" t="s">
        <v>157</v>
      </c>
    </row>
    <row r="4" customFormat="false" ht="30" hidden="false" customHeight="true" outlineLevel="0" collapsed="false">
      <c r="A4" s="25" t="s">
        <v>158</v>
      </c>
      <c r="B4" s="25" t="s">
        <v>159</v>
      </c>
    </row>
    <row r="5" customFormat="false" ht="30" hidden="false" customHeight="true" outlineLevel="0" collapsed="false">
      <c r="A5" s="25" t="s">
        <v>160</v>
      </c>
      <c r="B5" s="25" t="s">
        <v>161</v>
      </c>
    </row>
    <row r="6" customFormat="false" ht="30" hidden="false" customHeight="true" outlineLevel="0" collapsed="false">
      <c r="A6" s="25" t="s">
        <v>162</v>
      </c>
      <c r="B6" s="25" t="s">
        <v>163</v>
      </c>
    </row>
    <row r="7" customFormat="false" ht="30" hidden="false" customHeight="true" outlineLevel="0" collapsed="false">
      <c r="A7" s="25" t="s">
        <v>164</v>
      </c>
      <c r="B7" s="25" t="s">
        <v>165</v>
      </c>
    </row>
    <row r="8" customFormat="false" ht="30" hidden="false" customHeight="true" outlineLevel="0" collapsed="false">
      <c r="A8" s="25" t="s">
        <v>166</v>
      </c>
      <c r="B8" s="25" t="s">
        <v>167</v>
      </c>
    </row>
    <row r="9" customFormat="false" ht="30" hidden="false" customHeight="true" outlineLevel="0" collapsed="false">
      <c r="A9" s="25" t="s">
        <v>168</v>
      </c>
      <c r="B9" s="25" t="s">
        <v>169</v>
      </c>
    </row>
    <row r="10" customFormat="false" ht="30" hidden="false" customHeight="true" outlineLevel="0" collapsed="false">
      <c r="A10" s="25" t="s">
        <v>170</v>
      </c>
      <c r="B10" s="25" t="s">
        <v>171</v>
      </c>
    </row>
    <row r="11" customFormat="false" ht="30" hidden="false" customHeight="true" outlineLevel="0" collapsed="false">
      <c r="A11" s="25" t="s">
        <v>172</v>
      </c>
      <c r="B11" s="25"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6.15" hidden="false" customHeight="false" outlineLevel="0" collapsed="false">
      <c r="A1" s="1" t="s">
        <v>174</v>
      </c>
    </row>
    <row r="3" customFormat="false" ht="15" hidden="false" customHeight="false" outlineLevel="0" collapsed="false">
      <c r="A3" s="26" t="s">
        <v>175</v>
      </c>
    </row>
    <row r="4" customFormat="false" ht="15" hidden="false" customHeight="false" outlineLevel="0" collapsed="false">
      <c r="A4" s="26" t="s">
        <v>176</v>
      </c>
    </row>
    <row r="5" customFormat="false" ht="15" hidden="false" customHeight="false" outlineLevel="0" collapsed="false">
      <c r="A5" s="26" t="s">
        <v>177</v>
      </c>
    </row>
    <row r="6" customFormat="false" ht="15" hidden="false" customHeight="false" outlineLevel="0" collapsed="false">
      <c r="A6" s="26" t="s">
        <v>178</v>
      </c>
    </row>
    <row r="7" customFormat="false" ht="15" hidden="false" customHeight="false" outlineLevel="0" collapsed="false">
      <c r="A7" s="26" t="s">
        <v>179</v>
      </c>
    </row>
    <row r="8" customFormat="false" ht="15" hidden="false" customHeight="false" outlineLevel="0" collapsed="false">
      <c r="A8" s="26" t="s">
        <v>180</v>
      </c>
    </row>
    <row r="9" customFormat="false" ht="15" hidden="false" customHeight="false" outlineLevel="0" collapsed="false">
      <c r="A9" s="26"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2026-10-16T14:31:51Z</dcterms:created>
  <dc:creator>openpyxl</dc:creator>
  <dc:description/>
  <dc:language>en-US</dc:language>
  <cp:lastModifiedBy/>
  <dcterms:modified xsi:type="dcterms:W3CDTF">2026-10-16T14:31:51Z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