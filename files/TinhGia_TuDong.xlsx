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HAM SỐ" sheetId="2" state="visible" r:id="rId2"/>
    <sheet xmlns:r="http://schemas.openxmlformats.org/officeDocument/2006/relationships" name="DỮ LIỆU FASTMOSS" sheetId="3" state="visible" r:id="rId3"/>
    <sheet xmlns:r="http://schemas.openxmlformats.org/officeDocument/2006/relationships" name="NHẬP HÀNG" sheetId="4" state="visible" r:id="rId4"/>
    <sheet xmlns:r="http://schemas.openxmlformats.org/officeDocument/2006/relationships" name="KẾT QU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color rgb="006B6B6B"/>
      <sz val="9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4A7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1" pivotButton="0" quotePrefix="0" xfId="0"/>
    <xf numFmtId="0" fontId="2" fillId="2" borderId="1" pivotButton="0" quotePrefix="0" xfId="0"/>
    <xf numFmtId="164" fontId="2" fillId="2" borderId="1" pivotButton="0" quotePrefix="0" xfId="0"/>
    <xf numFmtId="4" fontId="2" fillId="2" borderId="1" pivotButton="0" quotePrefix="0" xfId="0"/>
    <xf numFmtId="3" fontId="2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4" fontId="2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CÁCH DÙNG: 3 BƯỚC</t>
        </is>
      </c>
    </row>
    <row r="3">
      <c r="B3" s="2" t="inlineStr">
        <is>
          <t>Bước 1. Chạy PROMPT TỰ ĐỘNG trong Claude hoặc ChatGPT đã kết nối FastMoss MCP. AI tự chốt ngách, chọn 5 sản phẩm win + 5 sản phẩm vệ tinh, lấy số FastMoss. Dán khối kết quả vào sheet DỮ LIỆU FASTMOSS, ô A5.</t>
        </is>
      </c>
    </row>
    <row r="4">
      <c r="B4" s="2" t="inlineStr">
        <is>
          <t>Bước 2. Làm việc với nhà cung cấp, rồi chạy PROMPT NHẬP HÀNG: dán tin nhắn hoặc listing của nhà cung cấp, AI trích giá nhập, cân nặng, MOQ... Dán khối kết quả vào sheet NHẬP HÀNG, ô C5. Đây là bước duy nhất cần thông tin nhập hàng của bạn.</t>
        </is>
      </c>
    </row>
    <row r="5">
      <c r="B5" s="2" t="inlineStr">
        <is>
          <t>Bước 3. Mở sheet KẾT QUẢ: lợi nhuận mỗi đơn, giá bán đề xuất, giá nhập tối đa và kết luận Làm, Cân nhắc, Bỏ cho từng sản phẩm. Không cần nhập gì thêm.</t>
        </is>
      </c>
    </row>
    <row r="6">
      <c r="B6" s="2" t="inlineStr"/>
    </row>
    <row r="7">
      <c r="B7" s="2" t="inlineStr">
        <is>
          <t>Ô màu xanh nhạt: dán kết quả từ AI. Ô màu vàng: số bạn có thể chỉnh (chỉ ở THAM SỐ và cột giá bán dự kiến). Ô trắng: tự tính.</t>
        </is>
      </c>
    </row>
    <row r="8">
      <c r="B8" s="2" t="inlineStr">
        <is>
          <t>Hai prompt nằm ở trang Bộ prompt FastMoss: https://mentor.huytim.com/files/bo-prompt-fastmoss.html</t>
        </is>
      </c>
    </row>
    <row r="9">
      <c r="B9" s="2" t="inlineStr">
        <is>
          <t>Mọi con số là ước tính. Đối chiếu bảng phí thật của sàn trước khi nhập hàng.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6" customWidth="1" min="5" max="5"/>
  </cols>
  <sheetData>
    <row r="1">
      <c r="B1" s="1" t="inlineStr">
        <is>
          <t>THAM SỐ</t>
        </is>
      </c>
    </row>
    <row r="2">
      <c r="B2" s="3" t="inlineStr">
        <is>
          <t>Mặc định dùng được ngay. Mentor hoặc học viên chỉnh khi cần.</t>
        </is>
      </c>
    </row>
    <row r="4">
      <c r="B4" s="4" t="inlineStr">
        <is>
          <t>Thị trường (VN hoặc US)</t>
        </is>
      </c>
      <c r="C4" s="5" t="inlineStr">
        <is>
          <t>US</t>
        </is>
      </c>
      <c r="D4" s="3" t="inlineStr">
        <is>
          <t>Chọn VN hoặc US</t>
        </is>
      </c>
    </row>
    <row r="5">
      <c r="B5" s="4" t="inlineStr">
        <is>
          <t>Đơn vị tiền</t>
        </is>
      </c>
      <c r="C5" s="4">
        <f>IF(C4="VN","VND","USD")</f>
        <v/>
      </c>
      <c r="D5" s="3" t="inlineStr"/>
    </row>
    <row r="6">
      <c r="B6" s="4" t="inlineStr">
        <is>
          <t>Biên lợi nhuận mong muốn (% giá bán)</t>
        </is>
      </c>
      <c r="C6" s="6" t="n">
        <v>0.2</v>
      </c>
      <c r="D6" s="3" t="inlineStr"/>
    </row>
    <row r="7">
      <c r="B7" s="4" t="inlineStr">
        <is>
          <t>Chi phí quảng cáo cho đơn chạy ads (% giá bán)</t>
        </is>
      </c>
      <c r="C7" s="6" t="n">
        <v>0.1</v>
      </c>
      <c r="D7" s="3" t="inlineStr"/>
    </row>
    <row r="8">
      <c r="B8" s="4" t="inlineStr">
        <is>
          <t>Hoàn, hủy, hỏng (% giá bán)</t>
        </is>
      </c>
      <c r="C8" s="6" t="n">
        <v>0.02</v>
      </c>
      <c r="D8" s="3" t="inlineStr"/>
    </row>
    <row r="9">
      <c r="B9" s="4" t="inlineStr">
        <is>
          <t>Marketing khác mỗi đơn</t>
        </is>
      </c>
      <c r="C9" s="7" t="n">
        <v>0</v>
      </c>
      <c r="D9" s="3" t="inlineStr"/>
    </row>
    <row r="10">
      <c r="B10" s="4" t="inlineStr">
        <is>
          <t>Chi phí cố định mỗi tháng</t>
        </is>
      </c>
      <c r="C10" s="7" t="n">
        <v>0</v>
      </c>
      <c r="D10" s="3" t="inlineStr">
        <is>
          <t>Lương, điện, mạng, thuê chỗ. Để 0 nếu chưa tính</t>
        </is>
      </c>
    </row>
    <row r="11">
      <c r="B11" s="4" t="inlineStr">
        <is>
          <t>Số đơn dự kiến mỗi tháng</t>
        </is>
      </c>
      <c r="C11" s="8" t="n">
        <v>0</v>
      </c>
      <c r="D11" s="3" t="inlineStr"/>
    </row>
    <row r="12">
      <c r="B12" s="4" t="inlineStr">
        <is>
          <t>Biến phí mỗi đơn</t>
        </is>
      </c>
      <c r="C12" s="7" t="n">
        <v>0</v>
      </c>
      <c r="D12" s="3" t="inlineStr">
        <is>
          <t>Túi, băng dính, thư cảm ơn</t>
        </is>
      </c>
    </row>
    <row r="15" ht="44" customHeight="1">
      <c r="B15" s="9" t="inlineStr">
        <is>
          <t>Phí sàn</t>
        </is>
      </c>
      <c r="C15" s="9" t="inlineStr">
        <is>
          <t>VN (VND)</t>
        </is>
      </c>
      <c r="D15" s="9" t="inlineStr">
        <is>
          <t>US (USD)</t>
        </is>
      </c>
      <c r="E15" s="9" t="inlineStr">
        <is>
          <t>Ghi chú</t>
        </is>
      </c>
    </row>
    <row r="16">
      <c r="B16" s="4" t="inlineStr">
        <is>
          <t>Phí giao dịch (% giá bán)</t>
        </is>
      </c>
      <c r="C16" s="6" t="n">
        <v>0.06</v>
      </c>
      <c r="D16" s="6" t="n">
        <v>0</v>
      </c>
      <c r="E16" s="10" t="inlineStr">
        <is>
          <t>VN: kiểm tra Seller Center. US: giá trị mẫu, nhập lại theo sàn.</t>
        </is>
      </c>
    </row>
    <row r="17">
      <c r="B17" s="4" t="inlineStr">
        <is>
          <t>Hoa hồng sàn theo ngành (% giá bán)</t>
        </is>
      </c>
      <c r="C17" s="6" t="n">
        <v>0.14</v>
      </c>
      <c r="D17" s="6" t="n">
        <v>0.06</v>
      </c>
      <c r="E17" s="10" t="inlineStr">
        <is>
          <t>Thay bằng mức của ngành bạn bán.</t>
        </is>
      </c>
    </row>
    <row r="18">
      <c r="B18" s="4" t="inlineStr">
        <is>
          <t>Phí xử lý mỗi đơn</t>
        </is>
      </c>
      <c r="C18" s="7" t="n">
        <v>3000</v>
      </c>
      <c r="D18" s="7" t="n">
        <v>0.3</v>
      </c>
      <c r="E18" s="10" t="inlineStr">
        <is>
          <t>Giá trị mẫu.</t>
        </is>
      </c>
    </row>
    <row r="19">
      <c r="B19" s="4" t="inlineStr">
        <is>
          <t>Thuế (% giá bán)</t>
        </is>
      </c>
      <c r="C19" s="6" t="n">
        <v>0.015</v>
      </c>
      <c r="D19" s="6" t="n">
        <v>0</v>
      </c>
      <c r="E19" s="10" t="inlineStr">
        <is>
          <t>VN: thuế hộ kinh doanh. US: giá trị mẫu.</t>
        </is>
      </c>
    </row>
    <row r="21">
      <c r="B21" s="3" t="inlineStr">
        <is>
          <t>Phí sàn là số mẫu, luôn đối chiếu bảng phí mới nhất của sàn.</t>
        </is>
      </c>
    </row>
  </sheetData>
  <dataValidations count="1">
    <dataValidation sqref="C4" showDropDown="0" showInputMessage="0" showErrorMessage="0" allowBlank="0" type="list">
      <formula1>"VN,US"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34" customWidth="1" min="14" max="14"/>
  </cols>
  <sheetData>
    <row r="1">
      <c r="A1" s="1" t="inlineStr">
        <is>
          <t>DỮ LIỆU FASTMOSS</t>
        </is>
      </c>
    </row>
    <row r="2">
      <c r="A2" s="3" t="inlineStr">
        <is>
          <t>Dán kết quả của PROMPT TỰ ĐỘNG vào ô A5 (không dán tiêu đề). Gồm đúng 14 cột, tối đa 10 sản phẩm.</t>
        </is>
      </c>
    </row>
    <row r="4" ht="44" customHeight="1">
      <c r="A4" s="9" t="inlineStr">
        <is>
          <t>Mã SP</t>
        </is>
      </c>
      <c r="B4" s="9" t="inlineStr">
        <is>
          <t>Loại</t>
        </is>
      </c>
      <c r="C4" s="9" t="inlineStr">
        <is>
          <t>Tên sản phẩm</t>
        </is>
      </c>
      <c r="D4" s="9" t="inlineStr">
        <is>
          <t>Giá thấp nhất</t>
        </is>
      </c>
      <c r="E4" s="9" t="inlineStr">
        <is>
          <t>Giá trung vị</t>
        </is>
      </c>
      <c r="F4" s="9" t="inlineStr">
        <is>
          <t>Giá cao nhất</t>
        </is>
      </c>
      <c r="G4" s="9" t="inlineStr">
        <is>
          <t>Giá shop bán chạy nhất</t>
        </is>
      </c>
      <c r="H4" s="9" t="inlineStr">
        <is>
          <t>Tổng số bán 28 ngày</t>
        </is>
      </c>
      <c r="I4" s="9" t="inlineStr">
        <is>
          <t>Hoa hồng affiliate (số %, ví dụ 10)</t>
        </is>
      </c>
      <c r="J4" s="9" t="inlineStr">
        <is>
          <t>% GMV từ affiliate</t>
        </is>
      </c>
      <c r="K4" s="9" t="inlineStr">
        <is>
          <t>% GMV từ quảng cáo</t>
        </is>
      </c>
      <c r="L4" s="9" t="inlineStr">
        <is>
          <t>Số đối thủ</t>
        </is>
      </c>
      <c r="M4" s="9" t="inlineStr">
        <is>
          <t>Nhận định thị trường</t>
        </is>
      </c>
      <c r="N4" s="9" t="inlineStr">
        <is>
          <t>Link FastMoss</t>
        </is>
      </c>
    </row>
    <row r="5">
      <c r="A5" s="11" t="n"/>
      <c r="B5" s="11" t="n"/>
      <c r="C5" s="11" t="n"/>
      <c r="D5" s="12" t="n"/>
      <c r="E5" s="12" t="n"/>
      <c r="F5" s="12" t="n"/>
      <c r="G5" s="12" t="n"/>
      <c r="H5" s="11" t="n"/>
      <c r="I5" s="11" t="n"/>
      <c r="J5" s="11" t="n"/>
      <c r="K5" s="11" t="n"/>
      <c r="L5" s="11" t="n"/>
      <c r="M5" s="11" t="n"/>
      <c r="N5" s="11" t="n"/>
    </row>
    <row r="6">
      <c r="A6" s="11" t="n"/>
      <c r="B6" s="11" t="n"/>
      <c r="C6" s="11" t="n"/>
      <c r="D6" s="12" t="n"/>
      <c r="E6" s="12" t="n"/>
      <c r="F6" s="12" t="n"/>
      <c r="G6" s="12" t="n"/>
      <c r="H6" s="11" t="n"/>
      <c r="I6" s="11" t="n"/>
      <c r="J6" s="11" t="n"/>
      <c r="K6" s="11" t="n"/>
      <c r="L6" s="11" t="n"/>
      <c r="M6" s="11" t="n"/>
      <c r="N6" s="11" t="n"/>
    </row>
    <row r="7">
      <c r="A7" s="11" t="n"/>
      <c r="B7" s="11" t="n"/>
      <c r="C7" s="11" t="n"/>
      <c r="D7" s="12" t="n"/>
      <c r="E7" s="12" t="n"/>
      <c r="F7" s="12" t="n"/>
      <c r="G7" s="12" t="n"/>
      <c r="H7" s="11" t="n"/>
      <c r="I7" s="11" t="n"/>
      <c r="J7" s="11" t="n"/>
      <c r="K7" s="11" t="n"/>
      <c r="L7" s="11" t="n"/>
      <c r="M7" s="11" t="n"/>
      <c r="N7" s="11" t="n"/>
    </row>
    <row r="8">
      <c r="A8" s="11" t="n"/>
      <c r="B8" s="11" t="n"/>
      <c r="C8" s="11" t="n"/>
      <c r="D8" s="12" t="n"/>
      <c r="E8" s="12" t="n"/>
      <c r="F8" s="12" t="n"/>
      <c r="G8" s="12" t="n"/>
      <c r="H8" s="11" t="n"/>
      <c r="I8" s="11" t="n"/>
      <c r="J8" s="11" t="n"/>
      <c r="K8" s="11" t="n"/>
      <c r="L8" s="11" t="n"/>
      <c r="M8" s="11" t="n"/>
      <c r="N8" s="11" t="n"/>
    </row>
    <row r="9">
      <c r="A9" s="11" t="n"/>
      <c r="B9" s="11" t="n"/>
      <c r="C9" s="11" t="n"/>
      <c r="D9" s="12" t="n"/>
      <c r="E9" s="12" t="n"/>
      <c r="F9" s="12" t="n"/>
      <c r="G9" s="12" t="n"/>
      <c r="H9" s="11" t="n"/>
      <c r="I9" s="11" t="n"/>
      <c r="J9" s="11" t="n"/>
      <c r="K9" s="11" t="n"/>
      <c r="L9" s="11" t="n"/>
      <c r="M9" s="11" t="n"/>
      <c r="N9" s="11" t="n"/>
    </row>
    <row r="10">
      <c r="A10" s="11" t="n"/>
      <c r="B10" s="11" t="n"/>
      <c r="C10" s="11" t="n"/>
      <c r="D10" s="12" t="n"/>
      <c r="E10" s="12" t="n"/>
      <c r="F10" s="12" t="n"/>
      <c r="G10" s="12" t="n"/>
      <c r="H10" s="11" t="n"/>
      <c r="I10" s="11" t="n"/>
      <c r="J10" s="11" t="n"/>
      <c r="K10" s="11" t="n"/>
      <c r="L10" s="11" t="n"/>
      <c r="M10" s="11" t="n"/>
      <c r="N10" s="11" t="n"/>
    </row>
    <row r="11">
      <c r="A11" s="11" t="n"/>
      <c r="B11" s="11" t="n"/>
      <c r="C11" s="11" t="n"/>
      <c r="D11" s="12" t="n"/>
      <c r="E11" s="12" t="n"/>
      <c r="F11" s="12" t="n"/>
      <c r="G11" s="12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1" t="n"/>
      <c r="D12" s="12" t="n"/>
      <c r="E12" s="12" t="n"/>
      <c r="F12" s="12" t="n"/>
      <c r="G12" s="12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2" t="n"/>
      <c r="E13" s="12" t="n"/>
      <c r="F13" s="12" t="n"/>
      <c r="G13" s="12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2" t="n"/>
      <c r="E14" s="12" t="n"/>
      <c r="F14" s="12" t="n"/>
      <c r="G14" s="12" t="n"/>
      <c r="H14" s="11" t="n"/>
      <c r="I14" s="11" t="n"/>
      <c r="J14" s="11" t="n"/>
      <c r="K14" s="11" t="n"/>
      <c r="L14" s="11" t="n"/>
      <c r="M14" s="11" t="n"/>
      <c r="N1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24" customWidth="1" min="11" max="11"/>
    <col width="16" customWidth="1" min="12" max="12"/>
  </cols>
  <sheetData>
    <row r="1">
      <c r="A1" s="1" t="inlineStr">
        <is>
          <t>NHẬP HÀNG</t>
        </is>
      </c>
    </row>
    <row r="2">
      <c r="A2" s="3" t="inlineStr">
        <is>
          <t>Dán kết quả của PROMPT NHẬP HÀNG vào ô C5 (không dán tiêu đề), thứ tự dòng giống sheet DỮ LIỆU FASTMOSS. Cột A, B tự hiện.</t>
        </is>
      </c>
    </row>
    <row r="4" ht="44" customHeight="1">
      <c r="A4" s="9" t="inlineStr">
        <is>
          <t>Mã SP</t>
        </is>
      </c>
      <c r="B4" s="9" t="inlineStr">
        <is>
          <t>Tên sản phẩm</t>
        </is>
      </c>
      <c r="C4" s="9" t="inlineStr">
        <is>
          <t>Giá nhập mỗi cái</t>
        </is>
      </c>
      <c r="D4" s="9" t="inlineStr">
        <is>
          <t>Cân nặng mỗi cái (kg)</t>
        </is>
      </c>
      <c r="E4" s="9" t="inlineStr">
        <is>
          <t>Giá ship quốc tế mỗi kg</t>
        </is>
      </c>
      <c r="F4" s="9" t="inlineStr">
        <is>
          <t>Fulfillment mỗi đơn</t>
        </is>
      </c>
      <c r="G4" s="9" t="inlineStr">
        <is>
          <t>Logistics đầu đích mỗi đơn</t>
        </is>
      </c>
      <c r="H4" s="9" t="inlineStr">
        <is>
          <t>Logistics VN mỗi đơn</t>
        </is>
      </c>
      <c r="I4" s="9" t="inlineStr">
        <is>
          <t>Packing mỗi đơn</t>
        </is>
      </c>
      <c r="J4" s="9" t="inlineStr">
        <is>
          <t>MOQ</t>
        </is>
      </c>
      <c r="K4" s="9" t="inlineStr">
        <is>
          <t>Nhà cung cấp</t>
        </is>
      </c>
      <c r="L4" s="9" t="inlineStr">
        <is>
          <t>Giá bán dự kiến (trống = dùng giá trung vị)</t>
        </is>
      </c>
    </row>
    <row r="5">
      <c r="A5" s="4">
        <f>IF('DỮ LIỆU FASTMOSS'!A5="","",'DỮ LIỆU FASTMOSS'!A5)</f>
        <v/>
      </c>
      <c r="B5" s="4">
        <f>IF('DỮ LIỆU FASTMOSS'!C5="","",'DỮ LIỆU FASTMOSS'!C5)</f>
        <v/>
      </c>
      <c r="C5" s="12" t="n"/>
      <c r="D5" s="11" t="n"/>
      <c r="E5" s="12" t="n"/>
      <c r="F5" s="12" t="n"/>
      <c r="G5" s="12" t="n"/>
      <c r="H5" s="12" t="n"/>
      <c r="I5" s="12" t="n"/>
      <c r="J5" s="11" t="n"/>
      <c r="K5" s="11" t="n"/>
      <c r="L5" s="12" t="n"/>
    </row>
    <row r="6">
      <c r="A6" s="4">
        <f>IF('DỮ LIỆU FASTMOSS'!A6="","",'DỮ LIỆU FASTMOSS'!A6)</f>
        <v/>
      </c>
      <c r="B6" s="4">
        <f>IF('DỮ LIỆU FASTMOSS'!C6="","",'DỮ LIỆU FASTMOSS'!C6)</f>
        <v/>
      </c>
      <c r="C6" s="12" t="n"/>
      <c r="D6" s="11" t="n"/>
      <c r="E6" s="12" t="n"/>
      <c r="F6" s="12" t="n"/>
      <c r="G6" s="12" t="n"/>
      <c r="H6" s="12" t="n"/>
      <c r="I6" s="12" t="n"/>
      <c r="J6" s="11" t="n"/>
      <c r="K6" s="11" t="n"/>
      <c r="L6" s="12" t="n"/>
    </row>
    <row r="7">
      <c r="A7" s="4">
        <f>IF('DỮ LIỆU FASTMOSS'!A7="","",'DỮ LIỆU FASTMOSS'!A7)</f>
        <v/>
      </c>
      <c r="B7" s="4">
        <f>IF('DỮ LIỆU FASTMOSS'!C7="","",'DỮ LIỆU FASTMOSS'!C7)</f>
        <v/>
      </c>
      <c r="C7" s="12" t="n"/>
      <c r="D7" s="11" t="n"/>
      <c r="E7" s="12" t="n"/>
      <c r="F7" s="12" t="n"/>
      <c r="G7" s="12" t="n"/>
      <c r="H7" s="12" t="n"/>
      <c r="I7" s="12" t="n"/>
      <c r="J7" s="11" t="n"/>
      <c r="K7" s="11" t="n"/>
      <c r="L7" s="12" t="n"/>
    </row>
    <row r="8">
      <c r="A8" s="4">
        <f>IF('DỮ LIỆU FASTMOSS'!A8="","",'DỮ LIỆU FASTMOSS'!A8)</f>
        <v/>
      </c>
      <c r="B8" s="4">
        <f>IF('DỮ LIỆU FASTMOSS'!C8="","",'DỮ LIỆU FASTMOSS'!C8)</f>
        <v/>
      </c>
      <c r="C8" s="12" t="n"/>
      <c r="D8" s="11" t="n"/>
      <c r="E8" s="12" t="n"/>
      <c r="F8" s="12" t="n"/>
      <c r="G8" s="12" t="n"/>
      <c r="H8" s="12" t="n"/>
      <c r="I8" s="12" t="n"/>
      <c r="J8" s="11" t="n"/>
      <c r="K8" s="11" t="n"/>
      <c r="L8" s="12" t="n"/>
    </row>
    <row r="9">
      <c r="A9" s="4">
        <f>IF('DỮ LIỆU FASTMOSS'!A9="","",'DỮ LIỆU FASTMOSS'!A9)</f>
        <v/>
      </c>
      <c r="B9" s="4">
        <f>IF('DỮ LIỆU FASTMOSS'!C9="","",'DỮ LIỆU FASTMOSS'!C9)</f>
        <v/>
      </c>
      <c r="C9" s="12" t="n"/>
      <c r="D9" s="11" t="n"/>
      <c r="E9" s="12" t="n"/>
      <c r="F9" s="12" t="n"/>
      <c r="G9" s="12" t="n"/>
      <c r="H9" s="12" t="n"/>
      <c r="I9" s="12" t="n"/>
      <c r="J9" s="11" t="n"/>
      <c r="K9" s="11" t="n"/>
      <c r="L9" s="12" t="n"/>
    </row>
    <row r="10">
      <c r="A10" s="4">
        <f>IF('DỮ LIỆU FASTMOSS'!A10="","",'DỮ LIỆU FASTMOSS'!A10)</f>
        <v/>
      </c>
      <c r="B10" s="4">
        <f>IF('DỮ LIỆU FASTMOSS'!C10="","",'DỮ LIỆU FASTMOSS'!C10)</f>
        <v/>
      </c>
      <c r="C10" s="12" t="n"/>
      <c r="D10" s="11" t="n"/>
      <c r="E10" s="12" t="n"/>
      <c r="F10" s="12" t="n"/>
      <c r="G10" s="12" t="n"/>
      <c r="H10" s="12" t="n"/>
      <c r="I10" s="12" t="n"/>
      <c r="J10" s="11" t="n"/>
      <c r="K10" s="11" t="n"/>
      <c r="L10" s="12" t="n"/>
    </row>
    <row r="11">
      <c r="A11" s="4">
        <f>IF('DỮ LIỆU FASTMOSS'!A11="","",'DỮ LIỆU FASTMOSS'!A11)</f>
        <v/>
      </c>
      <c r="B11" s="4">
        <f>IF('DỮ LIỆU FASTMOSS'!C11="","",'DỮ LIỆU FASTMOSS'!C11)</f>
        <v/>
      </c>
      <c r="C11" s="12" t="n"/>
      <c r="D11" s="11" t="n"/>
      <c r="E11" s="12" t="n"/>
      <c r="F11" s="12" t="n"/>
      <c r="G11" s="12" t="n"/>
      <c r="H11" s="12" t="n"/>
      <c r="I11" s="12" t="n"/>
      <c r="J11" s="11" t="n"/>
      <c r="K11" s="11" t="n"/>
      <c r="L11" s="12" t="n"/>
    </row>
    <row r="12">
      <c r="A12" s="4">
        <f>IF('DỮ LIỆU FASTMOSS'!A12="","",'DỮ LIỆU FASTMOSS'!A12)</f>
        <v/>
      </c>
      <c r="B12" s="4">
        <f>IF('DỮ LIỆU FASTMOSS'!C12="","",'DỮ LIỆU FASTMOSS'!C12)</f>
        <v/>
      </c>
      <c r="C12" s="12" t="n"/>
      <c r="D12" s="11" t="n"/>
      <c r="E12" s="12" t="n"/>
      <c r="F12" s="12" t="n"/>
      <c r="G12" s="12" t="n"/>
      <c r="H12" s="12" t="n"/>
      <c r="I12" s="12" t="n"/>
      <c r="J12" s="11" t="n"/>
      <c r="K12" s="11" t="n"/>
      <c r="L12" s="12" t="n"/>
    </row>
    <row r="13">
      <c r="A13" s="4">
        <f>IF('DỮ LIỆU FASTMOSS'!A13="","",'DỮ LIỆU FASTMOSS'!A13)</f>
        <v/>
      </c>
      <c r="B13" s="4">
        <f>IF('DỮ LIỆU FASTMOSS'!C13="","",'DỮ LIỆU FASTMOSS'!C13)</f>
        <v/>
      </c>
      <c r="C13" s="12" t="n"/>
      <c r="D13" s="11" t="n"/>
      <c r="E13" s="12" t="n"/>
      <c r="F13" s="12" t="n"/>
      <c r="G13" s="12" t="n"/>
      <c r="H13" s="12" t="n"/>
      <c r="I13" s="12" t="n"/>
      <c r="J13" s="11" t="n"/>
      <c r="K13" s="11" t="n"/>
      <c r="L13" s="12" t="n"/>
    </row>
    <row r="14">
      <c r="A14" s="4">
        <f>IF('DỮ LIỆU FASTMOSS'!A14="","",'DỮ LIỆU FASTMOSS'!A14)</f>
        <v/>
      </c>
      <c r="B14" s="4">
        <f>IF('DỮ LIỆU FASTMOSS'!C14="","",'DỮ LIỆU FASTMOSS'!C14)</f>
        <v/>
      </c>
      <c r="C14" s="12" t="n"/>
      <c r="D14" s="11" t="n"/>
      <c r="E14" s="12" t="n"/>
      <c r="F14" s="12" t="n"/>
      <c r="G14" s="12" t="n"/>
      <c r="H14" s="12" t="n"/>
      <c r="I14" s="12" t="n"/>
      <c r="J14" s="11" t="n"/>
      <c r="K14" s="11" t="n"/>
      <c r="L14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" customWidth="1" min="11" max="11"/>
    <col width="13" customWidth="1" min="12" max="12"/>
    <col width="13" customWidth="1" min="13" max="13"/>
    <col width="13" customWidth="1" min="14" max="14"/>
    <col width="14" customWidth="1" min="15" max="15"/>
    <col width="26" customWidth="1" min="16" max="16"/>
    <col width="14" customWidth="1" min="17" max="17"/>
  </cols>
  <sheetData>
    <row r="1">
      <c r="A1" s="1" t="inlineStr">
        <is>
          <t>KẾT QUẢ</t>
        </is>
      </c>
    </row>
    <row r="2">
      <c r="A2" s="3">
        <f>"Thị trường: "&amp;'THAM SỐ'!C4&amp;" | Đơn vị tiền: "&amp;'THAM SỐ'!C5&amp;" | Biên mong muốn: "&amp;TEXT('THAM SỐ'!C6,"0%")</f>
        <v/>
      </c>
    </row>
    <row r="4" ht="44" customHeight="1">
      <c r="A4" s="9" t="inlineStr">
        <is>
          <t>Mã SP</t>
        </is>
      </c>
      <c r="B4" s="9" t="inlineStr">
        <is>
          <t>Tên sản phẩm</t>
        </is>
      </c>
      <c r="C4" s="9" t="inlineStr">
        <is>
          <t>Loại</t>
        </is>
      </c>
      <c r="D4" s="9" t="inlineStr">
        <is>
          <t>Giá bán dùng để tính</t>
        </is>
      </c>
      <c r="E4" s="9" t="inlineStr">
        <is>
          <t>Giá vốn hàng về tới khách</t>
        </is>
      </c>
      <c r="F4" s="9" t="inlineStr">
        <is>
          <t>Phí sàn (giao dịch, hoa hồng, xử lý, thuế)</t>
        </is>
      </c>
      <c r="G4" s="9" t="inlineStr">
        <is>
          <t>Hoa hồng affiliate</t>
        </is>
      </c>
      <c r="H4" s="9" t="inlineStr">
        <is>
          <t>Vận hành và marketing mỗi đơn</t>
        </is>
      </c>
      <c r="I4" s="9" t="inlineStr">
        <is>
          <t>Hoàn, hủy, hỏng</t>
        </is>
      </c>
      <c r="J4" s="9" t="inlineStr">
        <is>
          <t>Lợi nhuận đơn tự nhiên</t>
        </is>
      </c>
      <c r="K4" s="9" t="inlineStr">
        <is>
          <t>Biên đơn tự nhiên</t>
        </is>
      </c>
      <c r="L4" s="9" t="inlineStr">
        <is>
          <t>Lợi nhuận đơn affiliate</t>
        </is>
      </c>
      <c r="M4" s="9" t="inlineStr">
        <is>
          <t>Lợi nhuận đơn quảng cáo</t>
        </is>
      </c>
      <c r="N4" s="9" t="inlineStr">
        <is>
          <t>Giá nhập tối đa để đạt biên</t>
        </is>
      </c>
      <c r="O4" s="9" t="inlineStr">
        <is>
          <t>Giá bán đề xuất để đạt biên</t>
        </is>
      </c>
      <c r="P4" s="9" t="inlineStr">
        <is>
          <t>Vị trí giá đề xuất so với thị trường</t>
        </is>
      </c>
      <c r="Q4" s="9" t="inlineStr">
        <is>
          <t>Kết luận</t>
        </is>
      </c>
    </row>
    <row r="5">
      <c r="A5" s="4">
        <f>IF('DỮ LIỆU FASTMOSS'!A5="","",'DỮ LIỆU FASTMOSS'!A5)</f>
        <v/>
      </c>
      <c r="B5" s="4">
        <f>IF('DỮ LIỆU FASTMOSS'!C5="","",'DỮ LIỆU FASTMOSS'!C5)</f>
        <v/>
      </c>
      <c r="C5" s="4">
        <f>IF('DỮ LIỆU FASTMOSS'!B5="","",'DỮ LIỆU FASTMOSS'!B5)</f>
        <v/>
      </c>
      <c r="D5" s="13">
        <f>IF(A5="","",IF('NHẬP HÀNG'!L5&lt;&gt;"",'NHẬP HÀNG'!L5,'DỮ LIỆU FASTMOSS'!E5))</f>
        <v/>
      </c>
      <c r="E5" s="13">
        <f>IF(OR(A5="",'NHẬP HÀNG'!C5=""),"",'NHẬP HÀNG'!C5+'NHẬP HÀNG'!D5*'NHẬP HÀNG'!E5+'NHẬP HÀNG'!F5+'NHẬP HÀNG'!G5+'NHẬP HÀNG'!H5+'NHẬP HÀNG'!I5)</f>
        <v/>
      </c>
      <c r="F5" s="13">
        <f>IF(OR(A5="",D5=""),"",D5*(IF('THAM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5" s="13">
        <f>IF(OR(A5="",D5=""),"",D5*'DỮ LIỆU FASTMOSS'!I5/100)</f>
        <v/>
      </c>
      <c r="H5" s="13">
        <f>IF(A5="","",IFERROR('THAM SỐ'!C10/'THAM SỐ'!C11,0)+'THAM SỐ'!C12+'THAM SỐ'!C9)</f>
        <v/>
      </c>
      <c r="I5" s="13">
        <f>IF(OR(A5="",D5=""),"",D5*'THAM SỐ'!C8)</f>
        <v/>
      </c>
      <c r="J5" s="14">
        <f>IF(OR(E5="",D5=""),"",D5-E5-F5-H5-I5)</f>
        <v/>
      </c>
      <c r="K5" s="15">
        <f>IF(J5="","",IFERROR(J5/D5,""))</f>
        <v/>
      </c>
      <c r="L5" s="13">
        <f>IF(J5="","",J5-G5)</f>
        <v/>
      </c>
      <c r="M5" s="13">
        <f>IF(J5="","",J5-D5*'THAM SỐ'!C7)</f>
        <v/>
      </c>
      <c r="N5" s="14">
        <f>IF(OR(E5="",D5=""),"",D5*(1-IF('THAM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SỐ'!$D$18)+H5+(E5-'NHẬP HÀNG'!C5)))</f>
        <v/>
      </c>
      <c r="O5" s="14">
        <f>IF(E5="","",IF((IF('THAM SỐ'!$C$4="VN",'THAM SỐ'!$C$16,'THAM SỐ'!$D$16)+IF('THAM SỐ'!$C$4="VN",'THAM SỐ'!$C$17,'THAM SỐ'!$D$17)+IF('THAM SỐ'!$C$4="VN",'THAM SỐ'!$C$19,'THAM SỐ'!$D$19)+'THAM SỐ'!C8+'THAM SỐ'!C6)&gt;=1,"Không khả thi",(E5+IF('THAM SỐ'!$C$4="VN",'THAM SỐ'!$C$18,'THAM SỐ'!$D$18)+H5)/(1-IF('THAM SỐ'!$C$4="VN",'THAM SỐ'!$C$16,'THAM SỐ'!$D$16)-IF('THAM SỐ'!$C$4="VN",'THAM SỐ'!$C$17,'THAM SỐ'!$D$17)-IF('THAM SỐ'!$C$4="VN",'THAM SỐ'!$C$19,'THAM SỐ'!$D$19)-'THAM SỐ'!C8-'THAM SỐ'!C6)))</f>
        <v/>
      </c>
      <c r="P5" s="4">
        <f>IF(OR(NOT(ISNUMBER(O5)),'DỮ LIỆU FASTMOSS'!D5=""),"",IF(O5&lt;'DỮ LIỆU FASTMOSS'!D5,"Thấp hơn mọi đối thủ",IF(O5&lt;='DỮ LIỆU FASTMOSS'!E5,"Dưới hoặc bằng trung vị",IF(O5&lt;='DỮ LIỆU FASTMOSS'!F5,"Trên trung vị, trong vùng giá","Cao hơn mọi đối thủ"))))</f>
        <v/>
      </c>
      <c r="Q5" s="16">
        <f>IF(A5="","",IF(E5="","Chờ nhập hàng",IF(AND(K5&gt;='THAM SỐ'!C6,NOT(P5="Cao hơn mọi đối thủ")),"Làm",IF(J5&gt;0,"Cân nhắc","Bỏ"))))</f>
        <v/>
      </c>
    </row>
    <row r="6">
      <c r="A6" s="4">
        <f>IF('DỮ LIỆU FASTMOSS'!A6="","",'DỮ LIỆU FASTMOSS'!A6)</f>
        <v/>
      </c>
      <c r="B6" s="4">
        <f>IF('DỮ LIỆU FASTMOSS'!C6="","",'DỮ LIỆU FASTMOSS'!C6)</f>
        <v/>
      </c>
      <c r="C6" s="4">
        <f>IF('DỮ LIỆU FASTMOSS'!B6="","",'DỮ LIỆU FASTMOSS'!B6)</f>
        <v/>
      </c>
      <c r="D6" s="13">
        <f>IF(A6="","",IF('NHẬP HÀNG'!L6&lt;&gt;"",'NHẬP HÀNG'!L6,'DỮ LIỆU FASTMOSS'!E6))</f>
        <v/>
      </c>
      <c r="E6" s="13">
        <f>IF(OR(A6="",'NHẬP HÀNG'!C6=""),"",'NHẬP HÀNG'!C6+'NHẬP HÀNG'!D6*'NHẬP HÀNG'!E6+'NHẬP HÀNG'!F6+'NHẬP HÀNG'!G6+'NHẬP HÀNG'!H6+'NHẬP HÀNG'!I6)</f>
        <v/>
      </c>
      <c r="F6" s="13">
        <f>IF(OR(A6="",D6=""),"",D6*(IF('THAM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6" s="13">
        <f>IF(OR(A6="",D6=""),"",D6*'DỮ LIỆU FASTMOSS'!I6/100)</f>
        <v/>
      </c>
      <c r="H6" s="13">
        <f>IF(A6="","",IFERROR('THAM SỐ'!C10/'THAM SỐ'!C11,0)+'THAM SỐ'!C12+'THAM SỐ'!C9)</f>
        <v/>
      </c>
      <c r="I6" s="13">
        <f>IF(OR(A6="",D6=""),"",D6*'THAM SỐ'!C8)</f>
        <v/>
      </c>
      <c r="J6" s="14">
        <f>IF(OR(E6="",D6=""),"",D6-E6-F6-H6-I6)</f>
        <v/>
      </c>
      <c r="K6" s="15">
        <f>IF(J6="","",IFERROR(J6/D6,""))</f>
        <v/>
      </c>
      <c r="L6" s="13">
        <f>IF(J6="","",J6-G6)</f>
        <v/>
      </c>
      <c r="M6" s="13">
        <f>IF(J6="","",J6-D6*'THAM SỐ'!C7)</f>
        <v/>
      </c>
      <c r="N6" s="14">
        <f>IF(OR(E6="",D6=""),"",D6*(1-IF('THAM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SỐ'!$D$18)+H6+(E6-'NHẬP HÀNG'!C6)))</f>
        <v/>
      </c>
      <c r="O6" s="14">
        <f>IF(E6="","",IF((IF('THAM SỐ'!$C$4="VN",'THAM SỐ'!$C$16,'THAM SỐ'!$D$16)+IF('THAM SỐ'!$C$4="VN",'THAM SỐ'!$C$17,'THAM SỐ'!$D$17)+IF('THAM SỐ'!$C$4="VN",'THAM SỐ'!$C$19,'THAM SỐ'!$D$19)+'THAM SỐ'!C8+'THAM SỐ'!C6)&gt;=1,"Không khả thi",(E6+IF('THAM SỐ'!$C$4="VN",'THAM SỐ'!$C$18,'THAM SỐ'!$D$18)+H6)/(1-IF('THAM SỐ'!$C$4="VN",'THAM SỐ'!$C$16,'THAM SỐ'!$D$16)-IF('THAM SỐ'!$C$4="VN",'THAM SỐ'!$C$17,'THAM SỐ'!$D$17)-IF('THAM SỐ'!$C$4="VN",'THAM SỐ'!$C$19,'THAM SỐ'!$D$19)-'THAM SỐ'!C8-'THAM SỐ'!C6)))</f>
        <v/>
      </c>
      <c r="P6" s="4">
        <f>IF(OR(NOT(ISNUMBER(O6)),'DỮ LIỆU FASTMOSS'!D6=""),"",IF(O6&lt;'DỮ LIỆU FASTMOSS'!D6,"Thấp hơn mọi đối thủ",IF(O6&lt;='DỮ LIỆU FASTMOSS'!E6,"Dưới hoặc bằng trung vị",IF(O6&lt;='DỮ LIỆU FASTMOSS'!F6,"Trên trung vị, trong vùng giá","Cao hơn mọi đối thủ"))))</f>
        <v/>
      </c>
      <c r="Q6" s="16">
        <f>IF(A6="","",IF(E6="","Chờ nhập hàng",IF(AND(K6&gt;='THAM SỐ'!C6,NOT(P6="Cao hơn mọi đối thủ")),"Làm",IF(J6&gt;0,"Cân nhắc","Bỏ"))))</f>
        <v/>
      </c>
    </row>
    <row r="7">
      <c r="A7" s="4">
        <f>IF('DỮ LIỆU FASTMOSS'!A7="","",'DỮ LIỆU FASTMOSS'!A7)</f>
        <v/>
      </c>
      <c r="B7" s="4">
        <f>IF('DỮ LIỆU FASTMOSS'!C7="","",'DỮ LIỆU FASTMOSS'!C7)</f>
        <v/>
      </c>
      <c r="C7" s="4">
        <f>IF('DỮ LIỆU FASTMOSS'!B7="","",'DỮ LIỆU FASTMOSS'!B7)</f>
        <v/>
      </c>
      <c r="D7" s="13">
        <f>IF(A7="","",IF('NHẬP HÀNG'!L7&lt;&gt;"",'NHẬP HÀNG'!L7,'DỮ LIỆU FASTMOSS'!E7))</f>
        <v/>
      </c>
      <c r="E7" s="13">
        <f>IF(OR(A7="",'NHẬP HÀNG'!C7=""),"",'NHẬP HÀNG'!C7+'NHẬP HÀNG'!D7*'NHẬP HÀNG'!E7+'NHẬP HÀNG'!F7+'NHẬP HÀNG'!G7+'NHẬP HÀNG'!H7+'NHẬP HÀNG'!I7)</f>
        <v/>
      </c>
      <c r="F7" s="13">
        <f>IF(OR(A7="",D7=""),"",D7*(IF('THAM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7" s="13">
        <f>IF(OR(A7="",D7=""),"",D7*'DỮ LIỆU FASTMOSS'!I7/100)</f>
        <v/>
      </c>
      <c r="H7" s="13">
        <f>IF(A7="","",IFERROR('THAM SỐ'!C10/'THAM SỐ'!C11,0)+'THAM SỐ'!C12+'THAM SỐ'!C9)</f>
        <v/>
      </c>
      <c r="I7" s="13">
        <f>IF(OR(A7="",D7=""),"",D7*'THAM SỐ'!C8)</f>
        <v/>
      </c>
      <c r="J7" s="14">
        <f>IF(OR(E7="",D7=""),"",D7-E7-F7-H7-I7)</f>
        <v/>
      </c>
      <c r="K7" s="15">
        <f>IF(J7="","",IFERROR(J7/D7,""))</f>
        <v/>
      </c>
      <c r="L7" s="13">
        <f>IF(J7="","",J7-G7)</f>
        <v/>
      </c>
      <c r="M7" s="13">
        <f>IF(J7="","",J7-D7*'THAM SỐ'!C7)</f>
        <v/>
      </c>
      <c r="N7" s="14">
        <f>IF(OR(E7="",D7=""),"",D7*(1-IF('THAM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SỐ'!$D$18)+H7+(E7-'NHẬP HÀNG'!C7)))</f>
        <v/>
      </c>
      <c r="O7" s="14">
        <f>IF(E7="","",IF((IF('THAM SỐ'!$C$4="VN",'THAM SỐ'!$C$16,'THAM SỐ'!$D$16)+IF('THAM SỐ'!$C$4="VN",'THAM SỐ'!$C$17,'THAM SỐ'!$D$17)+IF('THAM SỐ'!$C$4="VN",'THAM SỐ'!$C$19,'THAM SỐ'!$D$19)+'THAM SỐ'!C8+'THAM SỐ'!C6)&gt;=1,"Không khả thi",(E7+IF('THAM SỐ'!$C$4="VN",'THAM SỐ'!$C$18,'THAM SỐ'!$D$18)+H7)/(1-IF('THAM SỐ'!$C$4="VN",'THAM SỐ'!$C$16,'THAM SỐ'!$D$16)-IF('THAM SỐ'!$C$4="VN",'THAM SỐ'!$C$17,'THAM SỐ'!$D$17)-IF('THAM SỐ'!$C$4="VN",'THAM SỐ'!$C$19,'THAM SỐ'!$D$19)-'THAM SỐ'!C8-'THAM SỐ'!C6)))</f>
        <v/>
      </c>
      <c r="P7" s="4">
        <f>IF(OR(NOT(ISNUMBER(O7)),'DỮ LIỆU FASTMOSS'!D7=""),"",IF(O7&lt;'DỮ LIỆU FASTMOSS'!D7,"Thấp hơn mọi đối thủ",IF(O7&lt;='DỮ LIỆU FASTMOSS'!E7,"Dưới hoặc bằng trung vị",IF(O7&lt;='DỮ LIỆU FASTMOSS'!F7,"Trên trung vị, trong vùng giá","Cao hơn mọi đối thủ"))))</f>
        <v/>
      </c>
      <c r="Q7" s="16">
        <f>IF(A7="","",IF(E7="","Chờ nhập hàng",IF(AND(K7&gt;='THAM SỐ'!C6,NOT(P7="Cao hơn mọi đối thủ")),"Làm",IF(J7&gt;0,"Cân nhắc","Bỏ"))))</f>
        <v/>
      </c>
    </row>
    <row r="8">
      <c r="A8" s="4">
        <f>IF('DỮ LIỆU FASTMOSS'!A8="","",'DỮ LIỆU FASTMOSS'!A8)</f>
        <v/>
      </c>
      <c r="B8" s="4">
        <f>IF('DỮ LIỆU FASTMOSS'!C8="","",'DỮ LIỆU FASTMOSS'!C8)</f>
        <v/>
      </c>
      <c r="C8" s="4">
        <f>IF('DỮ LIỆU FASTMOSS'!B8="","",'DỮ LIỆU FASTMOSS'!B8)</f>
        <v/>
      </c>
      <c r="D8" s="13">
        <f>IF(A8="","",IF('NHẬP HÀNG'!L8&lt;&gt;"",'NHẬP HÀNG'!L8,'DỮ LIỆU FASTMOSS'!E8))</f>
        <v/>
      </c>
      <c r="E8" s="13">
        <f>IF(OR(A8="",'NHẬP HÀNG'!C8=""),"",'NHẬP HÀNG'!C8+'NHẬP HÀNG'!D8*'NHẬP HÀNG'!E8+'NHẬP HÀNG'!F8+'NHẬP HÀNG'!G8+'NHẬP HÀNG'!H8+'NHẬP HÀNG'!I8)</f>
        <v/>
      </c>
      <c r="F8" s="13">
        <f>IF(OR(A8="",D8=""),"",D8*(IF('THAM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8" s="13">
        <f>IF(OR(A8="",D8=""),"",D8*'DỮ LIỆU FASTMOSS'!I8/100)</f>
        <v/>
      </c>
      <c r="H8" s="13">
        <f>IF(A8="","",IFERROR('THAM SỐ'!C10/'THAM SỐ'!C11,0)+'THAM SỐ'!C12+'THAM SỐ'!C9)</f>
        <v/>
      </c>
      <c r="I8" s="13">
        <f>IF(OR(A8="",D8=""),"",D8*'THAM SỐ'!C8)</f>
        <v/>
      </c>
      <c r="J8" s="14">
        <f>IF(OR(E8="",D8=""),"",D8-E8-F8-H8-I8)</f>
        <v/>
      </c>
      <c r="K8" s="15">
        <f>IF(J8="","",IFERROR(J8/D8,""))</f>
        <v/>
      </c>
      <c r="L8" s="13">
        <f>IF(J8="","",J8-G8)</f>
        <v/>
      </c>
      <c r="M8" s="13">
        <f>IF(J8="","",J8-D8*'THAM SỐ'!C7)</f>
        <v/>
      </c>
      <c r="N8" s="14">
        <f>IF(OR(E8="",D8=""),"",D8*(1-IF('THAM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SỐ'!$D$18)+H8+(E8-'NHẬP HÀNG'!C8)))</f>
        <v/>
      </c>
      <c r="O8" s="14">
        <f>IF(E8="","",IF((IF('THAM SỐ'!$C$4="VN",'THAM SỐ'!$C$16,'THAM SỐ'!$D$16)+IF('THAM SỐ'!$C$4="VN",'THAM SỐ'!$C$17,'THAM SỐ'!$D$17)+IF('THAM SỐ'!$C$4="VN",'THAM SỐ'!$C$19,'THAM SỐ'!$D$19)+'THAM SỐ'!C8+'THAM SỐ'!C6)&gt;=1,"Không khả thi",(E8+IF('THAM SỐ'!$C$4="VN",'THAM SỐ'!$C$18,'THAM SỐ'!$D$18)+H8)/(1-IF('THAM SỐ'!$C$4="VN",'THAM SỐ'!$C$16,'THAM SỐ'!$D$16)-IF('THAM SỐ'!$C$4="VN",'THAM SỐ'!$C$17,'THAM SỐ'!$D$17)-IF('THAM SỐ'!$C$4="VN",'THAM SỐ'!$C$19,'THAM SỐ'!$D$19)-'THAM SỐ'!C8-'THAM SỐ'!C6)))</f>
        <v/>
      </c>
      <c r="P8" s="4">
        <f>IF(OR(NOT(ISNUMBER(O8)),'DỮ LIỆU FASTMOSS'!D8=""),"",IF(O8&lt;'DỮ LIỆU FASTMOSS'!D8,"Thấp hơn mọi đối thủ",IF(O8&lt;='DỮ LIỆU FASTMOSS'!E8,"Dưới hoặc bằng trung vị",IF(O8&lt;='DỮ LIỆU FASTMOSS'!F8,"Trên trung vị, trong vùng giá","Cao hơn mọi đối thủ"))))</f>
        <v/>
      </c>
      <c r="Q8" s="16">
        <f>IF(A8="","",IF(E8="","Chờ nhập hàng",IF(AND(K8&gt;='THAM SỐ'!C6,NOT(P8="Cao hơn mọi đối thủ")),"Làm",IF(J8&gt;0,"Cân nhắc","Bỏ"))))</f>
        <v/>
      </c>
    </row>
    <row r="9">
      <c r="A9" s="4">
        <f>IF('DỮ LIỆU FASTMOSS'!A9="","",'DỮ LIỆU FASTMOSS'!A9)</f>
        <v/>
      </c>
      <c r="B9" s="4">
        <f>IF('DỮ LIỆU FASTMOSS'!C9="","",'DỮ LIỆU FASTMOSS'!C9)</f>
        <v/>
      </c>
      <c r="C9" s="4">
        <f>IF('DỮ LIỆU FASTMOSS'!B9="","",'DỮ LIỆU FASTMOSS'!B9)</f>
        <v/>
      </c>
      <c r="D9" s="13">
        <f>IF(A9="","",IF('NHẬP HÀNG'!L9&lt;&gt;"",'NHẬP HÀNG'!L9,'DỮ LIỆU FASTMOSS'!E9))</f>
        <v/>
      </c>
      <c r="E9" s="13">
        <f>IF(OR(A9="",'NHẬP HÀNG'!C9=""),"",'NHẬP HÀNG'!C9+'NHẬP HÀNG'!D9*'NHẬP HÀNG'!E9+'NHẬP HÀNG'!F9+'NHẬP HÀNG'!G9+'NHẬP HÀNG'!H9+'NHẬP HÀNG'!I9)</f>
        <v/>
      </c>
      <c r="F9" s="13">
        <f>IF(OR(A9="",D9=""),"",D9*(IF('THAM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9" s="13">
        <f>IF(OR(A9="",D9=""),"",D9*'DỮ LIỆU FASTMOSS'!I9/100)</f>
        <v/>
      </c>
      <c r="H9" s="13">
        <f>IF(A9="","",IFERROR('THAM SỐ'!C10/'THAM SỐ'!C11,0)+'THAM SỐ'!C12+'THAM SỐ'!C9)</f>
        <v/>
      </c>
      <c r="I9" s="13">
        <f>IF(OR(A9="",D9=""),"",D9*'THAM SỐ'!C8)</f>
        <v/>
      </c>
      <c r="J9" s="14">
        <f>IF(OR(E9="",D9=""),"",D9-E9-F9-H9-I9)</f>
        <v/>
      </c>
      <c r="K9" s="15">
        <f>IF(J9="","",IFERROR(J9/D9,""))</f>
        <v/>
      </c>
      <c r="L9" s="13">
        <f>IF(J9="","",J9-G9)</f>
        <v/>
      </c>
      <c r="M9" s="13">
        <f>IF(J9="","",J9-D9*'THAM SỐ'!C7)</f>
        <v/>
      </c>
      <c r="N9" s="14">
        <f>IF(OR(E9="",D9=""),"",D9*(1-IF('THAM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SỐ'!$D$18)+H9+(E9-'NHẬP HÀNG'!C9)))</f>
        <v/>
      </c>
      <c r="O9" s="14">
        <f>IF(E9="","",IF((IF('THAM SỐ'!$C$4="VN",'THAM SỐ'!$C$16,'THAM SỐ'!$D$16)+IF('THAM SỐ'!$C$4="VN",'THAM SỐ'!$C$17,'THAM SỐ'!$D$17)+IF('THAM SỐ'!$C$4="VN",'THAM SỐ'!$C$19,'THAM SỐ'!$D$19)+'THAM SỐ'!C8+'THAM SỐ'!C6)&gt;=1,"Không khả thi",(E9+IF('THAM SỐ'!$C$4="VN",'THAM SỐ'!$C$18,'THAM SỐ'!$D$18)+H9)/(1-IF('THAM SỐ'!$C$4="VN",'THAM SỐ'!$C$16,'THAM SỐ'!$D$16)-IF('THAM SỐ'!$C$4="VN",'THAM SỐ'!$C$17,'THAM SỐ'!$D$17)-IF('THAM SỐ'!$C$4="VN",'THAM SỐ'!$C$19,'THAM SỐ'!$D$19)-'THAM SỐ'!C8-'THAM SỐ'!C6)))</f>
        <v/>
      </c>
      <c r="P9" s="4">
        <f>IF(OR(NOT(ISNUMBER(O9)),'DỮ LIỆU FASTMOSS'!D9=""),"",IF(O9&lt;'DỮ LIỆU FASTMOSS'!D9,"Thấp hơn mọi đối thủ",IF(O9&lt;='DỮ LIỆU FASTMOSS'!E9,"Dưới hoặc bằng trung vị",IF(O9&lt;='DỮ LIỆU FASTMOSS'!F9,"Trên trung vị, trong vùng giá","Cao hơn mọi đối thủ"))))</f>
        <v/>
      </c>
      <c r="Q9" s="16">
        <f>IF(A9="","",IF(E9="","Chờ nhập hàng",IF(AND(K9&gt;='THAM SỐ'!C6,NOT(P9="Cao hơn mọi đối thủ")),"Làm",IF(J9&gt;0,"Cân nhắc","Bỏ"))))</f>
        <v/>
      </c>
    </row>
    <row r="10">
      <c r="A10" s="4">
        <f>IF('DỮ LIỆU FASTMOSS'!A10="","",'DỮ LIỆU FASTMOSS'!A10)</f>
        <v/>
      </c>
      <c r="B10" s="4">
        <f>IF('DỮ LIỆU FASTMOSS'!C10="","",'DỮ LIỆU FASTMOSS'!C10)</f>
        <v/>
      </c>
      <c r="C10" s="4">
        <f>IF('DỮ LIỆU FASTMOSS'!B10="","",'DỮ LIỆU FASTMOSS'!B10)</f>
        <v/>
      </c>
      <c r="D10" s="13">
        <f>IF(A10="","",IF('NHẬP HÀNG'!L10&lt;&gt;"",'NHẬP HÀNG'!L10,'DỮ LIỆU FASTMOSS'!E10))</f>
        <v/>
      </c>
      <c r="E10" s="13">
        <f>IF(OR(A10="",'NHẬP HÀNG'!C10=""),"",'NHẬP HÀNG'!C10+'NHẬP HÀNG'!D10*'NHẬP HÀNG'!E10+'NHẬP HÀNG'!F10+'NHẬP HÀNG'!G10+'NHẬP HÀNG'!H10+'NHẬP HÀNG'!I10)</f>
        <v/>
      </c>
      <c r="F10" s="13">
        <f>IF(OR(A10="",D10=""),"",D10*(IF('THAM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10" s="13">
        <f>IF(OR(A10="",D10=""),"",D10*'DỮ LIỆU FASTMOSS'!I10/100)</f>
        <v/>
      </c>
      <c r="H10" s="13">
        <f>IF(A10="","",IFERROR('THAM SỐ'!C10/'THAM SỐ'!C11,0)+'THAM SỐ'!C12+'THAM SỐ'!C9)</f>
        <v/>
      </c>
      <c r="I10" s="13">
        <f>IF(OR(A10="",D10=""),"",D10*'THAM SỐ'!C8)</f>
        <v/>
      </c>
      <c r="J10" s="14">
        <f>IF(OR(E10="",D10=""),"",D10-E10-F10-H10-I10)</f>
        <v/>
      </c>
      <c r="K10" s="15">
        <f>IF(J10="","",IFERROR(J10/D10,""))</f>
        <v/>
      </c>
      <c r="L10" s="13">
        <f>IF(J10="","",J10-G10)</f>
        <v/>
      </c>
      <c r="M10" s="13">
        <f>IF(J10="","",J10-D10*'THAM SỐ'!C7)</f>
        <v/>
      </c>
      <c r="N10" s="14">
        <f>IF(OR(E10="",D10=""),"",D10*(1-IF('THAM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SỐ'!$D$18)+H10+(E10-'NHẬP HÀNG'!C10)))</f>
        <v/>
      </c>
      <c r="O10" s="14">
        <f>IF(E10="","",IF((IF('THAM SỐ'!$C$4="VN",'THAM SỐ'!$C$16,'THAM SỐ'!$D$16)+IF('THAM SỐ'!$C$4="VN",'THAM SỐ'!$C$17,'THAM SỐ'!$D$17)+IF('THAM SỐ'!$C$4="VN",'THAM SỐ'!$C$19,'THAM SỐ'!$D$19)+'THAM SỐ'!C8+'THAM SỐ'!C6)&gt;=1,"Không khả thi",(E10+IF('THAM SỐ'!$C$4="VN",'THAM SỐ'!$C$18,'THAM SỐ'!$D$18)+H10)/(1-IF('THAM SỐ'!$C$4="VN",'THAM SỐ'!$C$16,'THAM SỐ'!$D$16)-IF('THAM SỐ'!$C$4="VN",'THAM SỐ'!$C$17,'THAM SỐ'!$D$17)-IF('THAM SỐ'!$C$4="VN",'THAM SỐ'!$C$19,'THAM SỐ'!$D$19)-'THAM SỐ'!C8-'THAM SỐ'!C6)))</f>
        <v/>
      </c>
      <c r="P10" s="4">
        <f>IF(OR(NOT(ISNUMBER(O10)),'DỮ LIỆU FASTMOSS'!D10=""),"",IF(O10&lt;'DỮ LIỆU FASTMOSS'!D10,"Thấp hơn mọi đối thủ",IF(O10&lt;='DỮ LIỆU FASTMOSS'!E10,"Dưới hoặc bằng trung vị",IF(O10&lt;='DỮ LIỆU FASTMOSS'!F10,"Trên trung vị, trong vùng giá","Cao hơn mọi đối thủ"))))</f>
        <v/>
      </c>
      <c r="Q10" s="16">
        <f>IF(A10="","",IF(E10="","Chờ nhập hàng",IF(AND(K10&gt;='THAM SỐ'!C6,NOT(P10="Cao hơn mọi đối thủ")),"Làm",IF(J10&gt;0,"Cân nhắc","Bỏ"))))</f>
        <v/>
      </c>
    </row>
    <row r="11">
      <c r="A11" s="4">
        <f>IF('DỮ LIỆU FASTMOSS'!A11="","",'DỮ LIỆU FASTMOSS'!A11)</f>
        <v/>
      </c>
      <c r="B11" s="4">
        <f>IF('DỮ LIỆU FASTMOSS'!C11="","",'DỮ LIỆU FASTMOSS'!C11)</f>
        <v/>
      </c>
      <c r="C11" s="4">
        <f>IF('DỮ LIỆU FASTMOSS'!B11="","",'DỮ LIỆU FASTMOSS'!B11)</f>
        <v/>
      </c>
      <c r="D11" s="13">
        <f>IF(A11="","",IF('NHẬP HÀNG'!L11&lt;&gt;"",'NHẬP HÀNG'!L11,'DỮ LIỆU FASTMOSS'!E11))</f>
        <v/>
      </c>
      <c r="E11" s="13">
        <f>IF(OR(A11="",'NHẬP HÀNG'!C11=""),"",'NHẬP HÀNG'!C11+'NHẬP HÀNG'!D11*'NHẬP HÀNG'!E11+'NHẬP HÀNG'!F11+'NHẬP HÀNG'!G11+'NHẬP HÀNG'!H11+'NHẬP HÀNG'!I11)</f>
        <v/>
      </c>
      <c r="F11" s="13">
        <f>IF(OR(A11="",D11=""),"",D11*(IF('THAM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11" s="13">
        <f>IF(OR(A11="",D11=""),"",D11*'DỮ LIỆU FASTMOSS'!I11/100)</f>
        <v/>
      </c>
      <c r="H11" s="13">
        <f>IF(A11="","",IFERROR('THAM SỐ'!C10/'THAM SỐ'!C11,0)+'THAM SỐ'!C12+'THAM SỐ'!C9)</f>
        <v/>
      </c>
      <c r="I11" s="13">
        <f>IF(OR(A11="",D11=""),"",D11*'THAM SỐ'!C8)</f>
        <v/>
      </c>
      <c r="J11" s="14">
        <f>IF(OR(E11="",D11=""),"",D11-E11-F11-H11-I11)</f>
        <v/>
      </c>
      <c r="K11" s="15">
        <f>IF(J11="","",IFERROR(J11/D11,""))</f>
        <v/>
      </c>
      <c r="L11" s="13">
        <f>IF(J11="","",J11-G11)</f>
        <v/>
      </c>
      <c r="M11" s="13">
        <f>IF(J11="","",J11-D11*'THAM SỐ'!C7)</f>
        <v/>
      </c>
      <c r="N11" s="14">
        <f>IF(OR(E11="",D11=""),"",D11*(1-IF('THAM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SỐ'!$D$18)+H11+(E11-'NHẬP HÀNG'!C11)))</f>
        <v/>
      </c>
      <c r="O11" s="14">
        <f>IF(E11="","",IF((IF('THAM SỐ'!$C$4="VN",'THAM SỐ'!$C$16,'THAM SỐ'!$D$16)+IF('THAM SỐ'!$C$4="VN",'THAM SỐ'!$C$17,'THAM SỐ'!$D$17)+IF('THAM SỐ'!$C$4="VN",'THAM SỐ'!$C$19,'THAM SỐ'!$D$19)+'THAM SỐ'!C8+'THAM SỐ'!C6)&gt;=1,"Không khả thi",(E11+IF('THAM SỐ'!$C$4="VN",'THAM SỐ'!$C$18,'THAM SỐ'!$D$18)+H11)/(1-IF('THAM SỐ'!$C$4="VN",'THAM SỐ'!$C$16,'THAM SỐ'!$D$16)-IF('THAM SỐ'!$C$4="VN",'THAM SỐ'!$C$17,'THAM SỐ'!$D$17)-IF('THAM SỐ'!$C$4="VN",'THAM SỐ'!$C$19,'THAM SỐ'!$D$19)-'THAM SỐ'!C8-'THAM SỐ'!C6)))</f>
        <v/>
      </c>
      <c r="P11" s="4">
        <f>IF(OR(NOT(ISNUMBER(O11)),'DỮ LIỆU FASTMOSS'!D11=""),"",IF(O11&lt;'DỮ LIỆU FASTMOSS'!D11,"Thấp hơn mọi đối thủ",IF(O11&lt;='DỮ LIỆU FASTMOSS'!E11,"Dưới hoặc bằng trung vị",IF(O11&lt;='DỮ LIỆU FASTMOSS'!F11,"Trên trung vị, trong vùng giá","Cao hơn mọi đối thủ"))))</f>
        <v/>
      </c>
      <c r="Q11" s="16">
        <f>IF(A11="","",IF(E11="","Chờ nhập hàng",IF(AND(K11&gt;='THAM SỐ'!C6,NOT(P11="Cao hơn mọi đối thủ")),"Làm",IF(J11&gt;0,"Cân nhắc","Bỏ"))))</f>
        <v/>
      </c>
    </row>
    <row r="12">
      <c r="A12" s="4">
        <f>IF('DỮ LIỆU FASTMOSS'!A12="","",'DỮ LIỆU FASTMOSS'!A12)</f>
        <v/>
      </c>
      <c r="B12" s="4">
        <f>IF('DỮ LIỆU FASTMOSS'!C12="","",'DỮ LIỆU FASTMOSS'!C12)</f>
        <v/>
      </c>
      <c r="C12" s="4">
        <f>IF('DỮ LIỆU FASTMOSS'!B12="","",'DỮ LIỆU FASTMOSS'!B12)</f>
        <v/>
      </c>
      <c r="D12" s="13">
        <f>IF(A12="","",IF('NHẬP HÀNG'!L12&lt;&gt;"",'NHẬP HÀNG'!L12,'DỮ LIỆU FASTMOSS'!E12))</f>
        <v/>
      </c>
      <c r="E12" s="13">
        <f>IF(OR(A12="",'NHẬP HÀNG'!C12=""),"",'NHẬP HÀNG'!C12+'NHẬP HÀNG'!D12*'NHẬP HÀNG'!E12+'NHẬP HÀNG'!F12+'NHẬP HÀNG'!G12+'NHẬP HÀNG'!H12+'NHẬP HÀNG'!I12)</f>
        <v/>
      </c>
      <c r="F12" s="13">
        <f>IF(OR(A12="",D12=""),"",D12*(IF('THAM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12" s="13">
        <f>IF(OR(A12="",D12=""),"",D12*'DỮ LIỆU FASTMOSS'!I12/100)</f>
        <v/>
      </c>
      <c r="H12" s="13">
        <f>IF(A12="","",IFERROR('THAM SỐ'!C10/'THAM SỐ'!C11,0)+'THAM SỐ'!C12+'THAM SỐ'!C9)</f>
        <v/>
      </c>
      <c r="I12" s="13">
        <f>IF(OR(A12="",D12=""),"",D12*'THAM SỐ'!C8)</f>
        <v/>
      </c>
      <c r="J12" s="14">
        <f>IF(OR(E12="",D12=""),"",D12-E12-F12-H12-I12)</f>
        <v/>
      </c>
      <c r="K12" s="15">
        <f>IF(J12="","",IFERROR(J12/D12,""))</f>
        <v/>
      </c>
      <c r="L12" s="13">
        <f>IF(J12="","",J12-G12)</f>
        <v/>
      </c>
      <c r="M12" s="13">
        <f>IF(J12="","",J12-D12*'THAM SỐ'!C7)</f>
        <v/>
      </c>
      <c r="N12" s="14">
        <f>IF(OR(E12="",D12=""),"",D12*(1-IF('THAM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SỐ'!$D$18)+H12+(E12-'NHẬP HÀNG'!C12)))</f>
        <v/>
      </c>
      <c r="O12" s="14">
        <f>IF(E12="","",IF((IF('THAM SỐ'!$C$4="VN",'THAM SỐ'!$C$16,'THAM SỐ'!$D$16)+IF('THAM SỐ'!$C$4="VN",'THAM SỐ'!$C$17,'THAM SỐ'!$D$17)+IF('THAM SỐ'!$C$4="VN",'THAM SỐ'!$C$19,'THAM SỐ'!$D$19)+'THAM SỐ'!C8+'THAM SỐ'!C6)&gt;=1,"Không khả thi",(E12+IF('THAM SỐ'!$C$4="VN",'THAM SỐ'!$C$18,'THAM SỐ'!$D$18)+H12)/(1-IF('THAM SỐ'!$C$4="VN",'THAM SỐ'!$C$16,'THAM SỐ'!$D$16)-IF('THAM SỐ'!$C$4="VN",'THAM SỐ'!$C$17,'THAM SỐ'!$D$17)-IF('THAM SỐ'!$C$4="VN",'THAM SỐ'!$C$19,'THAM SỐ'!$D$19)-'THAM SỐ'!C8-'THAM SỐ'!C6)))</f>
        <v/>
      </c>
      <c r="P12" s="4">
        <f>IF(OR(NOT(ISNUMBER(O12)),'DỮ LIỆU FASTMOSS'!D12=""),"",IF(O12&lt;'DỮ LIỆU FASTMOSS'!D12,"Thấp hơn mọi đối thủ",IF(O12&lt;='DỮ LIỆU FASTMOSS'!E12,"Dưới hoặc bằng trung vị",IF(O12&lt;='DỮ LIỆU FASTMOSS'!F12,"Trên trung vị, trong vùng giá","Cao hơn mọi đối thủ"))))</f>
        <v/>
      </c>
      <c r="Q12" s="16">
        <f>IF(A12="","",IF(E12="","Chờ nhập hàng",IF(AND(K12&gt;='THAM SỐ'!C6,NOT(P12="Cao hơn mọi đối thủ")),"Làm",IF(J12&gt;0,"Cân nhắc","Bỏ"))))</f>
        <v/>
      </c>
    </row>
    <row r="13">
      <c r="A13" s="4">
        <f>IF('DỮ LIỆU FASTMOSS'!A13="","",'DỮ LIỆU FASTMOSS'!A13)</f>
        <v/>
      </c>
      <c r="B13" s="4">
        <f>IF('DỮ LIỆU FASTMOSS'!C13="","",'DỮ LIỆU FASTMOSS'!C13)</f>
        <v/>
      </c>
      <c r="C13" s="4">
        <f>IF('DỮ LIỆU FASTMOSS'!B13="","",'DỮ LIỆU FASTMOSS'!B13)</f>
        <v/>
      </c>
      <c r="D13" s="13">
        <f>IF(A13="","",IF('NHẬP HÀNG'!L13&lt;&gt;"",'NHẬP HÀNG'!L13,'DỮ LIỆU FASTMOSS'!E13))</f>
        <v/>
      </c>
      <c r="E13" s="13">
        <f>IF(OR(A13="",'NHẬP HÀNG'!C13=""),"",'NHẬP HÀNG'!C13+'NHẬP HÀNG'!D13*'NHẬP HÀNG'!E13+'NHẬP HÀNG'!F13+'NHẬP HÀNG'!G13+'NHẬP HÀNG'!H13+'NHẬP HÀNG'!I13)</f>
        <v/>
      </c>
      <c r="F13" s="13">
        <f>IF(OR(A13="",D13=""),"",D13*(IF('THAM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13" s="13">
        <f>IF(OR(A13="",D13=""),"",D13*'DỮ LIỆU FASTMOSS'!I13/100)</f>
        <v/>
      </c>
      <c r="H13" s="13">
        <f>IF(A13="","",IFERROR('THAM SỐ'!C10/'THAM SỐ'!C11,0)+'THAM SỐ'!C12+'THAM SỐ'!C9)</f>
        <v/>
      </c>
      <c r="I13" s="13">
        <f>IF(OR(A13="",D13=""),"",D13*'THAM SỐ'!C8)</f>
        <v/>
      </c>
      <c r="J13" s="14">
        <f>IF(OR(E13="",D13=""),"",D13-E13-F13-H13-I13)</f>
        <v/>
      </c>
      <c r="K13" s="15">
        <f>IF(J13="","",IFERROR(J13/D13,""))</f>
        <v/>
      </c>
      <c r="L13" s="13">
        <f>IF(J13="","",J13-G13)</f>
        <v/>
      </c>
      <c r="M13" s="13">
        <f>IF(J13="","",J13-D13*'THAM SỐ'!C7)</f>
        <v/>
      </c>
      <c r="N13" s="14">
        <f>IF(OR(E13="",D13=""),"",D13*(1-IF('THAM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SỐ'!$D$18)+H13+(E13-'NHẬP HÀNG'!C13)))</f>
        <v/>
      </c>
      <c r="O13" s="14">
        <f>IF(E13="","",IF((IF('THAM SỐ'!$C$4="VN",'THAM SỐ'!$C$16,'THAM SỐ'!$D$16)+IF('THAM SỐ'!$C$4="VN",'THAM SỐ'!$C$17,'THAM SỐ'!$D$17)+IF('THAM SỐ'!$C$4="VN",'THAM SỐ'!$C$19,'THAM SỐ'!$D$19)+'THAM SỐ'!C8+'THAM SỐ'!C6)&gt;=1,"Không khả thi",(E13+IF('THAM SỐ'!$C$4="VN",'THAM SỐ'!$C$18,'THAM SỐ'!$D$18)+H13)/(1-IF('THAM SỐ'!$C$4="VN",'THAM SỐ'!$C$16,'THAM SỐ'!$D$16)-IF('THAM SỐ'!$C$4="VN",'THAM SỐ'!$C$17,'THAM SỐ'!$D$17)-IF('THAM SỐ'!$C$4="VN",'THAM SỐ'!$C$19,'THAM SỐ'!$D$19)-'THAM SỐ'!C8-'THAM SỐ'!C6)))</f>
        <v/>
      </c>
      <c r="P13" s="4">
        <f>IF(OR(NOT(ISNUMBER(O13)),'DỮ LIỆU FASTMOSS'!D13=""),"",IF(O13&lt;'DỮ LIỆU FASTMOSS'!D13,"Thấp hơn mọi đối thủ",IF(O13&lt;='DỮ LIỆU FASTMOSS'!E13,"Dưới hoặc bằng trung vị",IF(O13&lt;='DỮ LIỆU FASTMOSS'!F13,"Trên trung vị, trong vùng giá","Cao hơn mọi đối thủ"))))</f>
        <v/>
      </c>
      <c r="Q13" s="16">
        <f>IF(A13="","",IF(E13="","Chờ nhập hàng",IF(AND(K13&gt;='THAM SỐ'!C6,NOT(P13="Cao hơn mọi đối thủ")),"Làm",IF(J13&gt;0,"Cân nhắc","Bỏ"))))</f>
        <v/>
      </c>
    </row>
    <row r="14">
      <c r="A14" s="4">
        <f>IF('DỮ LIỆU FASTMOSS'!A14="","",'DỮ LIỆU FASTMOSS'!A14)</f>
        <v/>
      </c>
      <c r="B14" s="4">
        <f>IF('DỮ LIỆU FASTMOSS'!C14="","",'DỮ LIỆU FASTMOSS'!C14)</f>
        <v/>
      </c>
      <c r="C14" s="4">
        <f>IF('DỮ LIỆU FASTMOSS'!B14="","",'DỮ LIỆU FASTMOSS'!B14)</f>
        <v/>
      </c>
      <c r="D14" s="13">
        <f>IF(A14="","",IF('NHẬP HÀNG'!L14&lt;&gt;"",'NHẬP HÀNG'!L14,'DỮ LIỆU FASTMOSS'!E14))</f>
        <v/>
      </c>
      <c r="E14" s="13">
        <f>IF(OR(A14="",'NHẬP HÀNG'!C14=""),"",'NHẬP HÀNG'!C14+'NHẬP HÀNG'!D14*'NHẬP HÀNG'!E14+'NHẬP HÀNG'!F14+'NHẬP HÀNG'!G14+'NHẬP HÀNG'!H14+'NHẬP HÀNG'!I14)</f>
        <v/>
      </c>
      <c r="F14" s="13">
        <f>IF(OR(A14="",D14=""),"",D14*(IF('THAM SỐ'!$C$4="VN",'THAM SỐ'!$C$16,'THAM SỐ'!$D$16)+IF('THAM SỐ'!$C$4="VN",'THAM SỐ'!$C$17,'THAM SỐ'!$D$17)+IF('THAM SỐ'!$C$4="VN",'THAM SỐ'!$C$19,'THAM SỐ'!$D$19))+IF('THAM SỐ'!$C$4="VN",'THAM SỐ'!$C$18,'THAM SỐ'!$D$18))</f>
        <v/>
      </c>
      <c r="G14" s="13">
        <f>IF(OR(A14="",D14=""),"",D14*'DỮ LIỆU FASTMOSS'!I14/100)</f>
        <v/>
      </c>
      <c r="H14" s="13">
        <f>IF(A14="","",IFERROR('THAM SỐ'!C10/'THAM SỐ'!C11,0)+'THAM SỐ'!C12+'THAM SỐ'!C9)</f>
        <v/>
      </c>
      <c r="I14" s="13">
        <f>IF(OR(A14="",D14=""),"",D14*'THAM SỐ'!C8)</f>
        <v/>
      </c>
      <c r="J14" s="14">
        <f>IF(OR(E14="",D14=""),"",D14-E14-F14-H14-I14)</f>
        <v/>
      </c>
      <c r="K14" s="15">
        <f>IF(J14="","",IFERROR(J14/D14,""))</f>
        <v/>
      </c>
      <c r="L14" s="13">
        <f>IF(J14="","",J14-G14)</f>
        <v/>
      </c>
      <c r="M14" s="13">
        <f>IF(J14="","",J14-D14*'THAM SỐ'!C7)</f>
        <v/>
      </c>
      <c r="N14" s="14">
        <f>IF(OR(E14="",D14=""),"",D14*(1-IF('THAM SỐ'!$C$4="VN",'THAM SỐ'!$C$16,'THAM SỐ'!$D$16)-IF('THAM SỐ'!$C$4="VN",'THAM SỐ'!$C$17,'THAM SỐ'!$D$17)-IF('THAM SỐ'!$C$4="VN",'THAM SỐ'!$C$19,'THAM SỐ'!$D$19)-'THAM SỐ'!C8-'THAM SỐ'!C6)-(IF('THAM SỐ'!$C$4="VN",'THAM SỐ'!$C$18,'THAM SỐ'!$D$18)+H14+(E14-'NHẬP HÀNG'!C14)))</f>
        <v/>
      </c>
      <c r="O14" s="14">
        <f>IF(E14="","",IF((IF('THAM SỐ'!$C$4="VN",'THAM SỐ'!$C$16,'THAM SỐ'!$D$16)+IF('THAM SỐ'!$C$4="VN",'THAM SỐ'!$C$17,'THAM SỐ'!$D$17)+IF('THAM SỐ'!$C$4="VN",'THAM SỐ'!$C$19,'THAM SỐ'!$D$19)+'THAM SỐ'!C8+'THAM SỐ'!C6)&gt;=1,"Không khả thi",(E14+IF('THAM SỐ'!$C$4="VN",'THAM SỐ'!$C$18,'THAM SỐ'!$D$18)+H14)/(1-IF('THAM SỐ'!$C$4="VN",'THAM SỐ'!$C$16,'THAM SỐ'!$D$16)-IF('THAM SỐ'!$C$4="VN",'THAM SỐ'!$C$17,'THAM SỐ'!$D$17)-IF('THAM SỐ'!$C$4="VN",'THAM SỐ'!$C$19,'THAM SỐ'!$D$19)-'THAM SỐ'!C8-'THAM SỐ'!C6)))</f>
        <v/>
      </c>
      <c r="P14" s="4">
        <f>IF(OR(NOT(ISNUMBER(O14)),'DỮ LIỆU FASTMOSS'!D14=""),"",IF(O14&lt;'DỮ LIỆU FASTMOSS'!D14,"Thấp hơn mọi đối thủ",IF(O14&lt;='DỮ LIỆU FASTMOSS'!E14,"Dưới hoặc bằng trung vị",IF(O14&lt;='DỮ LIỆU FASTMOSS'!F14,"Trên trung vị, trong vùng giá","Cao hơn mọi đối thủ"))))</f>
        <v/>
      </c>
      <c r="Q14" s="16">
        <f>IF(A14="","",IF(E14="","Chờ nhập hàng",IF(AND(K14&gt;='THAM SỐ'!C6,NOT(P14="Cao hơn mọi đối thủ")),"Làm",IF(J14&gt;0,"Cân nhắc","Bỏ"))))</f>
        <v/>
      </c>
    </row>
    <row r="16">
      <c r="A16" s="3" t="inlineStr">
        <is>
          <t>Đọc kết quả: Làm = lời đạt biên mong muốn và giá đề xuất không cao hơn mọi đối thủ. Cân nhắc = có lời nhưng mỏng hoặc giá cao. Bỏ = lỗ. Nếu nhà cung cấp báo cao hơn Giá nhập tối đa thì đàm phán hoặc bỏ.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2026-10-19T12:46:32Z</dcterms:created>
  <dcterms:modified xmlns:dcterms="http://purl.org/dc/terms/" xmlns:xsi="http://www.w3.org/2001/XMLSchema-instance" xsi:type="dcterms:W3CDTF">2026-10-19T12:46:32Z</dcterms:modified>
</cp:coreProperties>
</file>